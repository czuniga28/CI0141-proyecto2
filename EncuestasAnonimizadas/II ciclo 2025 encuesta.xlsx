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rysd\Dropbox\ComisionEvaluacionOrientacion\Enfasis\Encuestas\EncuestasAnomizadas\"/>
    </mc:Choice>
  </mc:AlternateContent>
  <xr:revisionPtr revIDLastSave="0" documentId="13_ncr:1_{E90B8DF7-7B31-48D5-AD03-34FB2C2B1772}" xr6:coauthVersionLast="47" xr6:coauthVersionMax="47" xr10:uidLastSave="{00000000-0000-0000-0000-000000000000}"/>
  <bookViews>
    <workbookView xWindow="-98" yWindow="-98" windowWidth="23596" windowHeight="15076" tabRatio="212" xr2:uid="{00000000-000D-0000-FFFF-FFFF00000000}"/>
  </bookViews>
  <sheets>
    <sheet name="Encuesta de ingreso a énfas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5" i="1" l="1"/>
  <c r="U44" i="1"/>
  <c r="AN45" i="1"/>
  <c r="AN46" i="1"/>
  <c r="AN44" i="1"/>
  <c r="Q51" i="1"/>
  <c r="Q49" i="1"/>
  <c r="Q50" i="1"/>
  <c r="Q48" i="1"/>
  <c r="Q53" i="1"/>
  <c r="Q56" i="1"/>
  <c r="Q54" i="1"/>
  <c r="Q55" i="1"/>
  <c r="O45" i="1"/>
  <c r="O44" i="1"/>
</calcChain>
</file>

<file path=xl/sharedStrings.xml><?xml version="1.0" encoding="utf-8"?>
<sst xmlns="http://schemas.openxmlformats.org/spreadsheetml/2006/main" count="1534" uniqueCount="256">
  <si>
    <t>ID de respuesta</t>
  </si>
  <si>
    <t>Fecha de envío</t>
  </si>
  <si>
    <t>Última página</t>
  </si>
  <si>
    <t>Lenguaje inicial</t>
  </si>
  <si>
    <t>Semilla</t>
  </si>
  <si>
    <t>Fecha de inicio</t>
  </si>
  <si>
    <t>Fecha de la última acción</t>
  </si>
  <si>
    <t>¿Por cuáles medios se enteró de las actividades informativas de énfasis? [Correo institucional UCR]</t>
  </si>
  <si>
    <t>¿Por cuáles medios se enteró de las actividades informativas de énfasis? [Página web de la ECCI]</t>
  </si>
  <si>
    <t>¿Por cuáles medios se enteró de las actividades informativas de énfasis? [Redes sociales de la ECCI]</t>
  </si>
  <si>
    <t>¿Por cuáles medios se enteró de las actividades informativas de énfasis? [Plataforma Element]</t>
  </si>
  <si>
    <t>¿Por cuáles medios se enteró de las actividades informativas de énfasis? [Docentes]</t>
  </si>
  <si>
    <t>¿Por cuáles medios se enteró de las actividades informativas de énfasis? [Compañeros o amigos]</t>
  </si>
  <si>
    <t>¿Por cuáles medios se enteró de las actividades informativas de énfasis? [Otro]</t>
  </si>
  <si>
    <t>¿Asistió a alguna de las actividades organizadas para escogencia de énfasis?</t>
  </si>
  <si>
    <t>Comente por qué no asistió a las actividades. </t>
  </si>
  <si>
    <t>¿En cuál semestre de la carrera tomó la decisión sobre el énfasis?</t>
  </si>
  <si>
    <t>¿Considera que las actividades organizadas para escogencia de énfasis influyeron en su elección?</t>
  </si>
  <si>
    <t>¿Cuáles factores influyeron en su decisión de elección de énfasis? [Interacciones con profesores]</t>
  </si>
  <si>
    <t>¿Cuáles factores influyeron en su decisión de elección de énfasis? [Cursos que ha llevado hasta el momento]</t>
  </si>
  <si>
    <t>¿Cuáles factores influyeron en su decisión de elección de énfasis? [Actividades organizadas por la ECCI]</t>
  </si>
  <si>
    <t>¿Cuáles factores influyeron en su decisión de elección de énfasis? [Interacción con estudiantes avanzados en la carrera]</t>
  </si>
  <si>
    <t>¿Cuáles factores influyeron en su decisión de elección de énfasis? [Análisis del plan de estudios de cada énfasis]</t>
  </si>
  <si>
    <t>¿Cuáles factores influyeron en su decisión de elección de énfasis? [Expectativa de obtener un empleo bien remunerado]</t>
  </si>
  <si>
    <t>¿Cuáles factores influyeron en su decisión de elección de énfasis? [Oferta de puestos disponibles en la industria]</t>
  </si>
  <si>
    <t>¿Cuáles factores influyeron en su decisión de elección de énfasis? [Otro]</t>
  </si>
  <si>
    <t>Indique el impacto que tuvieron las siguientes actividades en su decisión: [Charla Introductoria de los Énfasis]</t>
  </si>
  <si>
    <t>Indique el impacto que tuvieron las siguientes actividades en su decisión: [Mesa Redonda con los Estudiantes de los Énfasis]</t>
  </si>
  <si>
    <t>Indique el impacto que tuvieron las siguientes actividades en su decisión: [Charlas con Egresados-Industria de los Énfasis: CC]</t>
  </si>
  <si>
    <t>Indique el impacto que tuvieron las siguientes actividades en su decisión: [Charlas con Egresados-Industria de los Énfasis: ITI]</t>
  </si>
  <si>
    <t>Indique el impacto que tuvieron las siguientes actividades en su decisión: [Charlas con Egresados-Industria de los Énfasis: IS]</t>
  </si>
  <si>
    <t>Indique el impacto que tuvieron las siguientes actividades en su decisión: [Charla Mitos y Realidades, y Proceso Administrativo de Elección de Énfasis]</t>
  </si>
  <si>
    <t>Indique qué tan útiles fueron las siguientes actividades: [Charla Introductoria de los Énfasis]</t>
  </si>
  <si>
    <t>Indique qué tan útiles fueron las siguientes actividades: [ Mesa Redonda con los Estudiantes de los Énfasis]</t>
  </si>
  <si>
    <t>Indique qué tan útiles fueron las siguientes actividades: [Charlas con Egresados-Industria de los Énfasis: CC]</t>
  </si>
  <si>
    <t>Indique qué tan útiles fueron las siguientes actividades: [Charlas con Egresados-Industria de los Énfasis: ITI]</t>
  </si>
  <si>
    <t>Indique qué tan útiles fueron las siguientes actividades: [Charlas con Egresados-Industria de los Énfasis: IS]</t>
  </si>
  <si>
    <t>Indique qué tan útiles fueron las siguientes actividades: [Charla:  Mitos y Realidades + Proceso Administrativo de Elección de Énfasis]</t>
  </si>
  <si>
    <t>Comente brevemente por qué considera que fueron poco útiles las actividades indicadas en la pregunta anterior.</t>
  </si>
  <si>
    <t>¿Cuál énfasis va a elegir?</t>
  </si>
  <si>
    <t>Valore la dificultad de aprobar los siguientes semestres (ciclos) de la carrera si se lleva el bloque completo, usando una escala de 1 a 5 (donde 1 es muy fácil y 5 es muy difícil).  [I ciclo Introducción a la Computación + Introducción a la Matemática para Computación + Generales + Inglés + Deportiva]</t>
  </si>
  <si>
    <t>Valore la dificultad de aprobar los siguientes semestres (ciclos) de la carrera si se lleva el bloque completo, usando una escala de 1 a 5 (donde 1 es muy fácil y 5 es muy difícil).  [II ciclo Estructuras Discretas + Programación 1 + Cálculo 1 + Generales]</t>
  </si>
  <si>
    <t>Valore la dificultad de aprobar los siguientes semestres (ciclos) de la carrera si se lleva el bloque completo, usando una escala de 1 a 5 (donde 1 es muy fácil y 5 es muy difícil).  [III ciclo Programación 2 + Fundamentos de Arquitectura + Cálculo 2 + Álgebra Lineal + Seminario de Realidad Nacional]</t>
  </si>
  <si>
    <t>Valore la dificultad de aprobar los siguientes semestres (ciclos) de la carrera si se lleva el bloque completo, usando una escala de 1 a 5 (donde 1 es muy fácil y 5 es muy difícil).  [IV ciclo Programación Paralela y Concurrente + Análisis de Algoritmos y Estructuras de Datos + Probabilidad y Estadística + Lenguaje Ensamblador + Proyecto Integrador de Ensambla-Arqui]</t>
  </si>
  <si>
    <t>Califique el dominio que tiene de las siguientes áreas de conocimiento y qué tan efectiva fue su enseñanza. Use una escala de 1 a 5, donde 1 es muy bajo y 5 es muy alto. [Programación][Eje 1]</t>
  </si>
  <si>
    <t>Califique el dominio que tiene de las siguientes áreas de conocimiento y qué tan efectiva fue su enseñanza. Use una escala de 1 a 5, donde 1 es muy bajo y 5 es muy alto. [Programación][Eje 2]</t>
  </si>
  <si>
    <t>Califique el dominio que tiene de las siguientes áreas de conocimiento y qué tan efectiva fue su enseñanza. Use una escala de 1 a 5, donde 1 es muy bajo y 5 es muy alto. [Estructuras discretas][Eje 1]</t>
  </si>
  <si>
    <t>Califique el dominio que tiene de las siguientes áreas de conocimiento y qué tan efectiva fue su enseñanza. Use una escala de 1 a 5, donde 1 es muy bajo y 5 es muy alto. [Estructuras discretas][Eje 2]</t>
  </si>
  <si>
    <t>Califique el dominio que tiene de las siguientes áreas de conocimiento y qué tan efectiva fue su enseñanza. Use una escala de 1 a 5, donde 1 es muy bajo y 5 es muy alto. [Fundamentos de arquitectura][Eje 1]</t>
  </si>
  <si>
    <t>Califique el dominio que tiene de las siguientes áreas de conocimiento y qué tan efectiva fue su enseñanza. Use una escala de 1 a 5, donde 1 es muy bajo y 5 es muy alto. [Fundamentos de arquitectura][Eje 2]</t>
  </si>
  <si>
    <t>Califique el dominio que tiene de las siguientes áreas de conocimiento y qué tan efectiva fue su enseñanza. Use una escala de 1 a 5, donde 1 es muy bajo y 5 es muy alto. [Lenguaje Ensamblador][Eje 1]</t>
  </si>
  <si>
    <t>Califique el dominio que tiene de las siguientes áreas de conocimiento y qué tan efectiva fue su enseñanza. Use una escala de 1 a 5, donde 1 es muy bajo y 5 es muy alto. [Lenguaje Ensamblador][Eje 2]</t>
  </si>
  <si>
    <t>Califique el dominio que tiene de las siguientes áreas de conocimiento y qué tan efectiva fue su enseñanza. Use una escala de 1 a 5, donde 1 es muy bajo y 5 es muy alto. [Análisis de algoritmos y estructuras de datos][Eje 1]</t>
  </si>
  <si>
    <t>Califique el dominio que tiene de las siguientes áreas de conocimiento y qué tan efectiva fue su enseñanza. Use una escala de 1 a 5, donde 1 es muy bajo y 5 es muy alto. [Análisis de algoritmos y estructuras de datos][Eje 2]</t>
  </si>
  <si>
    <t>Califique el dominio que tiene de las siguientes áreas de conocimiento y qué tan efectiva fue su enseñanza. Use una escala de 1 a 5, donde 1 es muy bajo y 5 es muy alto. [Programación paralela y concurrente][Eje 1]</t>
  </si>
  <si>
    <t>Califique el dominio que tiene de las siguientes áreas de conocimiento y qué tan efectiva fue su enseñanza. Use una escala de 1 a 5, donde 1 es muy bajo y 5 es muy alto. [Programación paralela y concurrente][Eje 2]</t>
  </si>
  <si>
    <t>Califique el dominio que tiene de las siguientes áreas de conocimiento y qué tan efectiva fue su enseñanza. Use una escala de 1 a 5, donde 1 es muy bajo y 5 es muy alto. [Introducción a la matemática para computación][Eje 1]</t>
  </si>
  <si>
    <t>Califique el dominio que tiene de las siguientes áreas de conocimiento y qué tan efectiva fue su enseñanza. Use una escala de 1 a 5, donde 1 es muy bajo y 5 es muy alto. [Introducción a la matemática para computación][Eje 2]</t>
  </si>
  <si>
    <t>Califique el dominio que tiene de las siguientes áreas de conocimiento y qué tan efectiva fue su enseñanza. Use una escala de 1 a 5, donde 1 es muy bajo y 5 es muy alto. [Álgebra lineal][Eje 1]</t>
  </si>
  <si>
    <t>Califique el dominio que tiene de las siguientes áreas de conocimiento y qué tan efectiva fue su enseñanza. Use una escala de 1 a 5, donde 1 es muy bajo y 5 es muy alto. [Álgebra lineal][Eje 2]</t>
  </si>
  <si>
    <t>Califique el dominio que tiene de las siguientes áreas de conocimiento y qué tan efectiva fue su enseñanza. Use una escala de 1 a 5, donde 1 es muy bajo y 5 es muy alto. [Cálculo diferencial e integral][Eje 1]</t>
  </si>
  <si>
    <t>Califique el dominio que tiene de las siguientes áreas de conocimiento y qué tan efectiva fue su enseñanza. Use una escala de 1 a 5, donde 1 es muy bajo y 5 es muy alto. [Cálculo diferencial e integral][Eje 2]</t>
  </si>
  <si>
    <t>Califique el dominio que tiene de las siguientes áreas de conocimiento y qué tan efectiva fue su enseñanza. Use una escala de 1 a 5, donde 1 es muy bajo y 5 es muy alto. [Probabilidad y estadística][Eje 1]</t>
  </si>
  <si>
    <t>Califique el dominio que tiene de las siguientes áreas de conocimiento y qué tan efectiva fue su enseñanza. Use una escala de 1 a 5, donde 1 es muy bajo y 5 es muy alto. [Probabilidad y estadística][Eje 2]</t>
  </si>
  <si>
    <t>Indique qué tanto ha mejorado las siguientes habilidades o actitudes desde que inició la carrera. Use una escala de 1 a 5, donde 1 es el puntaje más bajo y 5 es el puntaje más alto. [Capacidad de trabajar en equipos]</t>
  </si>
  <si>
    <t>Indique qué tanto ha mejorado las siguientes habilidades o actitudes desde que inició la carrera. Use una escala de 1 a 5, donde 1 es el puntaje más bajo y 5 es el puntaje más alto. [Actitud ética, con responsabilidad profesional y compromiso social]</t>
  </si>
  <si>
    <t>Indique qué tanto ha mejorado las siguientes habilidades o actitudes desde que inició la carrera. Use una escala de 1 a 5, donde 1 es el puntaje más bajo y 5 es el puntaje más alto. [Comunicación asertiva]</t>
  </si>
  <si>
    <t>Indique qué tanto ha mejorado las siguientes habilidades o actitudes desde que inició la carrera. Use una escala de 1 a 5, donde 1 es el puntaje más bajo y 5 es el puntaje más alto. [Perseverancia]</t>
  </si>
  <si>
    <t>Indique qué tanto ha mejorado las siguientes habilidades o actitudes desde que inició la carrera. Use una escala de 1 a 5, donde 1 es el puntaje más bajo y 5 es el puntaje más alto. [Disciplina]</t>
  </si>
  <si>
    <t>Indique qué tanto ha mejorado las siguientes habilidades o actitudes desde que inició la carrera. Use una escala de 1 a 5, donde 1 es el puntaje más bajo y 5 es el puntaje más alto. [Colaboración]</t>
  </si>
  <si>
    <t>Indique qué tanto ha mejorado las siguientes habilidades o actitudes desde que inició la carrera. Use una escala de 1 a 5, donde 1 es el puntaje más bajo y 5 es el puntaje más alto. [Responsabilidad]</t>
  </si>
  <si>
    <t>Cualquier comentario o sugerencia que tenga sobre los dos primeros años del plan de estudios que ha cursado, será bienvenido. Por favor escríbalo aquí.</t>
  </si>
  <si>
    <t>Tiempo total</t>
  </si>
  <si>
    <t>Temporización del grupo: Información general</t>
  </si>
  <si>
    <t>Temporización de la pregunta: I01</t>
  </si>
  <si>
    <t>Temporización de la pregunta: I02</t>
  </si>
  <si>
    <t>Temporización de la pregunta: PC01</t>
  </si>
  <si>
    <t>Temporización de la pregunta: I03</t>
  </si>
  <si>
    <t>Temporización de la pregunta: NA01</t>
  </si>
  <si>
    <t>Temporización de la pregunta: I04</t>
  </si>
  <si>
    <t>Temporización de la pregunta: S05</t>
  </si>
  <si>
    <t>Temporización de la pregunta: I06</t>
  </si>
  <si>
    <t>Temporización de la pregunta: S07</t>
  </si>
  <si>
    <t>Temporización de la pregunta: S08</t>
  </si>
  <si>
    <t>Temporización de la pregunta: S09</t>
  </si>
  <si>
    <t>Temporización de la pregunta: I10</t>
  </si>
  <si>
    <t>Temporización del grupo: Retroalimentación sobre los dos primeros años del plan de estudios</t>
  </si>
  <si>
    <t>Temporización de la pregunta: R01</t>
  </si>
  <si>
    <t>Temporización de la pregunta: R02</t>
  </si>
  <si>
    <t>Temporización de la pregunta: R03</t>
  </si>
  <si>
    <t>Temporización de la pregunta: R04</t>
  </si>
  <si>
    <t>2025-11-05 12:57:50</t>
  </si>
  <si>
    <t>es</t>
  </si>
  <si>
    <t>2025-11-05 12:50:50</t>
  </si>
  <si>
    <t>Sí</t>
  </si>
  <si>
    <t>No</t>
  </si>
  <si>
    <t>Grupos de WhatApp</t>
  </si>
  <si>
    <t>Siempre he tenido muy claro cuál énfasis quiero.</t>
  </si>
  <si>
    <t>I semestre del 1er año</t>
  </si>
  <si>
    <t>Siempre es un poco ambiguo la línea de donde queda un énfasis y empieza el otro.</t>
  </si>
  <si>
    <t>CC: Ciencias de la Computación</t>
  </si>
  <si>
    <t>Muy fácil: 1</t>
  </si>
  <si>
    <t>Muy alto 5</t>
  </si>
  <si>
    <t>He mejorado mucho: 5</t>
  </si>
  <si>
    <t>2025-11-05 20:15:02</t>
  </si>
  <si>
    <t>2025-11-05 19:27:32</t>
  </si>
  <si>
    <t>Whatsapp</t>
  </si>
  <si>
    <t>Un compañero agendó la revisión de avance de proyecto de paralela con Jeisson, entonces no pude ir porque era a la misma hora.</t>
  </si>
  <si>
    <t>II semestre del 2do año</t>
  </si>
  <si>
    <t>Todas las personas que conozco van a ese énfasis.</t>
  </si>
  <si>
    <t>No pude ir a ninguna.</t>
  </si>
  <si>
    <t>Muy bajo 1</t>
  </si>
  <si>
    <t>2025-11-05 21:47:18</t>
  </si>
  <si>
    <t>2025-11-05 21:37:45</t>
  </si>
  <si>
    <t>Tenia evaluaciones para ese tiempo.</t>
  </si>
  <si>
    <t>Intereses personales</t>
  </si>
  <si>
    <t>No veo util estresarme por dinero en este momento y prefiero buscar algo que me gusta mas. Además, la diferencia de salario es poca a nula entonces no tiene peso.</t>
  </si>
  <si>
    <t>2025-11-06 14:34:09</t>
  </si>
  <si>
    <t>2025-11-06 14:21:32</t>
  </si>
  <si>
    <t>Me parecían interesantes, pero no tenía el tiempo.</t>
  </si>
  <si>
    <t>No sé si lo fueron o no, pues no pude asistir.</t>
  </si>
  <si>
    <t>Probabilidad y estadística es un curso demasiado fácil actualmente, se pasa sin saber nada.</t>
  </si>
  <si>
    <t>2025-11-07 19:56:06</t>
  </si>
  <si>
    <t>2025-11-07 19:53:05</t>
  </si>
  <si>
    <t>Ocupado por trabajos universitarios</t>
  </si>
  <si>
    <t>No creo que no sean poco utiles</t>
  </si>
  <si>
    <t>Muy difícil: 5</t>
  </si>
  <si>
    <t>Me han gustado bastante, me parece que se aprende mucho en los de programacion. Pero en otros cursos como estructuras discretas o fundamentos la materia es muy reiterativa.</t>
  </si>
  <si>
    <t>2025-11-10 23:25:05</t>
  </si>
  <si>
    <t>2025-11-10 23:11:05</t>
  </si>
  <si>
    <t>Asocia</t>
  </si>
  <si>
    <t>No asistí porque tenía cita del dentista y porque ya había ido a actividades de esta índole en los tres semestres anteriores que llevo en la carrera y en el semestre antes de entrar</t>
  </si>
  <si>
    <t>Contexto personal previo a ingresar a la carrera</t>
  </si>
  <si>
    <t>Pregunta mal formulada. Las actividades todas me parecen de gran valor</t>
  </si>
  <si>
    <t>No todos los cursos deberían ser de 4 créditos. Podríamos reducir el creditaje de intro a compu o de discretas y dedicar ese espacio a otros temas de mayor relevancia para la disciplina.
Fundamentos de Arquitectura lo debería dar la escuela de Ingeniería eléctrica y probabilidad lo debería dar la escuela de matemática o la escuela de estadística.
Progra 1 debería llevarse en conjunto con intro a compu.
No estoy de acuerdo con que se enseñe Java en programación 1. C o C++ serían más útiles.
Hace mucha falta un curso de redacción (o de comunicación en general) al inicio de la carrera. 
Es importante que los profesores usen las evaluaciones grupales como herramienta para fomentar habilidades blandas y no como estrategia para tener que calificar menos trabajos. En muchos trabajos grupales, el tener que hacer la evaluación con otra gente resulta una fuente de estrés en lugar de un beneficio. Muchos trabajos grupales se pueden hacer individualmente sin problema</t>
  </si>
  <si>
    <t>2025-11-11 11:17:41</t>
  </si>
  <si>
    <t>2025-11-11 11:02:44</t>
  </si>
  <si>
    <t>Parcialmente</t>
  </si>
  <si>
    <t>No asistí</t>
  </si>
  <si>
    <t>5 - Muy útil</t>
  </si>
  <si>
    <t>IS: Ingeniería de Software</t>
  </si>
  <si>
    <t>2025-11-11 20:06:47</t>
  </si>
  <si>
    <t>2025-11-11 20:01:31</t>
  </si>
  <si>
    <t>Hacen las actividades a final de semestre cuando uno está más ocupado y atareado con los cursos, lo cual dificulta la asistencia a estas actividades. Considero que serían mejor a principios de semestre</t>
  </si>
  <si>
    <t>2025-11-12 15:24:05</t>
  </si>
  <si>
    <t>2025-11-12 15:18:04</t>
  </si>
  <si>
    <t>No creo que en general no sea útil pero en mi caso personal la mayoría de la información ya la sabía</t>
  </si>
  <si>
    <t>2025-11-12 21:58:07</t>
  </si>
  <si>
    <t>2025-11-12 21:49:28</t>
  </si>
  <si>
    <t>Yo vivo en Alajuela y las actividades se realizaron en horarios complicadas para mí ya que no tenía ningún curso cerca de las horas de las charlas</t>
  </si>
  <si>
    <t>I semestre del 2do año</t>
  </si>
  <si>
    <t>Asumo que se refieren a las actividades realizadas en el auditorio. Para mí persona fueron poco útiles ya que no pude asistir, pero sí me gustaría haber asistido a pesar de que tengo claro cuál énfasis quiero</t>
  </si>
  <si>
    <t>Me hubiera gustado aprender a utilizar control de versiones y realizar test cases desde progra l. Siento que eso es bastante necesario de conocer bien y, en mi caso, no tuve la oportunidad de aprenderlo en progra l.</t>
  </si>
  <si>
    <t>2025-11-13 07:30:33</t>
  </si>
  <si>
    <t>2025-11-13 07:22:08</t>
  </si>
  <si>
    <t>2025-11-13 14:24:08</t>
  </si>
  <si>
    <t>2025-11-13 11:55:48</t>
  </si>
  <si>
    <t>No he mejorado: 1</t>
  </si>
  <si>
    <t>2025-11-13 15:13:45</t>
  </si>
  <si>
    <t>2025-11-13 15:08:41</t>
  </si>
  <si>
    <t>1 - Nada útil</t>
  </si>
  <si>
    <t>ITI: Ingeniería de Tecnologías de la Información</t>
  </si>
  <si>
    <t>2025-11-14 00:17:35</t>
  </si>
  <si>
    <t>2025-11-14 00:14:09</t>
  </si>
  <si>
    <t>II semestre del 1er año</t>
  </si>
  <si>
    <t>2025-11-15 06:07:31</t>
  </si>
  <si>
    <t>2025-11-15 06:03:21</t>
  </si>
  <si>
    <t>2025-11-15 10:41:46</t>
  </si>
  <si>
    <t>2025-11-15 10:30:40</t>
  </si>
  <si>
    <t>Quería ir pero tenía demasiada carga académica que debía atender, me disculpo profundamente!</t>
  </si>
  <si>
    <t>Me imagino que fueron muy valiosas! De verdad me disculpo, se me imposibilitó ir, tal vez si fueran a principio de semestre nos quedaría mejor a los estudiantes.</t>
  </si>
  <si>
    <t>Soento que en este segundo semestre del segundo año que estoy cursando en bloque completo, los docentes de cada curso los hacen innecsariamente complejos, siento que cada uno piensa que su curso es el único curso que uno está llevando y crea una carga excesiva y detrimental. Apreciaría mucho para las futuras generaciones, que se coordine mejor para que tal vez se vean la misma materia pero con un poco menos de evaluaciones.</t>
  </si>
  <si>
    <t>2025-11-17 08:58:37</t>
  </si>
  <si>
    <t>2025-11-17 08:51:26</t>
  </si>
  <si>
    <t>2025-11-17 16:27:05</t>
  </si>
  <si>
    <t>2025-11-17 16:22:45</t>
  </si>
  <si>
    <t>2025-11-17 18:52:42</t>
  </si>
  <si>
    <t>2025-11-17 18:28:14</t>
  </si>
  <si>
    <t>Se hablaron de cosas que ya estaban en las páginas web o que se habían dicho en charlas introductorias de la carrera</t>
  </si>
  <si>
    <t>2025-11-17 18:55:30</t>
  </si>
  <si>
    <t>2025-11-17 18:28:19</t>
  </si>
  <si>
    <t>Se comentó lo mismo que en las charlas introductorias del primer semestre. Me gustaría que marcaran más la relación entre cada énfasis y lo cursos que hemos llevado. Esto para tener una idea de que, si disfrutamos de ese curso, es más probable que nos vaya a gustar este énfasis.</t>
  </si>
  <si>
    <t>Me parece que el segundo ciclo del segundo año está muy cargado, es muy agotador llevar cinco cursos siendo programación paralela uno de ellos</t>
  </si>
  <si>
    <t>2025-11-17 18:40:17</t>
  </si>
  <si>
    <t>2025-11-17 18:30:05</t>
  </si>
  <si>
    <t>No considero que hayan sido poco útiles, me hubiera gustado poder haber estado en todas de hecho, pero considero que hubiese sido bueno que al hablar con los directores de los énfasis estos fuesen igual de entusiastas en su énfasis que los estudiantes que escogen este curso.</t>
  </si>
  <si>
    <t>Desearía que las próximas generaciones no pasen el suplicio de malos profes de cálculo y matemáticas en general, es una base muy importante de la computación y en algunos casos los profes para una materia como cálculo II para computación dejan muchísimo que desear.</t>
  </si>
  <si>
    <t>2025-11-17 19:27:30</t>
  </si>
  <si>
    <t>2025-11-17 19:07:23</t>
  </si>
  <si>
    <t>No tenía tiempo</t>
  </si>
  <si>
    <t>Me parece que si la ECCI quiere llegar a ser una institución que realmente genera innovación  en  Costa Rica debería de alejarse de la filosofía actual de limitarse a solo enseñar a programar. En el futuro, los programadores van a ser reemplazados por IA y las habilidades que verdaderamente tienen valor son las de pensamiento crítico y lógico-matemático. Habilidades que la ECCI cada vez más hecha a un lado. Es erróneo  esperar que la ECCI consiga graduar estudiantes competentes en tecnologías como IA o análisis de datos si se reúsan a permitir que docentes de la escuela de Matemática impartan cursos como Probabilidad y estadística, Complejidad y Computabilidad y aprendizaje automático. Pues los docentes de la escuela de matemáticas y ciencias actuariales poseen muchas más competencias en estos temas que los docentes que imparten estos cursos actualmente.
Otro comentario es que, me parece erróneo someter a las personas de todos los énfasis a llevar los mismos cursos básicos de estructuras discretas, cálculo, álgebra lineal, análisis de algoritmos y  introducción a la arquitectura de computadores. Las personas de TI deberían de saber cómo funciona un circuito, y para eso se requiere que lleven un mejor curso de intro a arquitectura. Análogamente, las personas de CC requieren habilidades matemáticas mucho más elevadas que las de los otros énfasis  por lo que no tiene sentido someter a todos al mismo bloque común. 
Yo entiendo que esto puede sonar irrealista pues la ecci claramente tiene una escasez de profesores. Sin embargo, estos cursos perfectamente los pueden dar docentes de otras escuelas ( matemática, ciencias actuariales  e ingeniería eléctrica) que sin duda tienen las competencias para dar dichos cursos. Una observación final es que yo opino que la actual escasez es de profesores es causada por el hecho que el plan de estudios de la ecci es construido con el único objetivo de formar profesionales para la industria. Cada vez se exige menos conocimiento teórico y esto sin duda limita la posibilidad de los graduados a enamorarse de la investigación y la docencia.  Asimismo, esta filosofía limita a Costa Rica como país a posicionarse como un lugar de “programadores baratos” para trasnacionales en vez de ser un lugar que verdaderamente pueda traer innovación al mundo de la tecnología.  A mí experiencia personal, los pocos profesores que he tenido que verdaderamente siento que dominan teóricamente el campo que enseñan son los que se graduaron cuando la Ecci era parte de la escuela de matemáticas, no creo que sea coincidencia.</t>
  </si>
  <si>
    <t>2025-11-18 02:25:56</t>
  </si>
  <si>
    <t>2025-11-18 02:19:37</t>
  </si>
  <si>
    <t>Con analizar los planes de estudio me fue mas que suficiente</t>
  </si>
  <si>
    <t>Muchos malos profesores, no puede ser que existan profes hoy en dia que se paren a leer 20-50 diapositivas en las clases sin dar ejemplos ni ejercicios, sumado a que esto cansa y hace perder el interes al estudiante es coctel perfecto para que muchos pierdan la pasion por la carrera. Porfa hagan caso a las evaluaciones docentes</t>
  </si>
  <si>
    <t>2025-11-18 10:18:12</t>
  </si>
  <si>
    <t>2025-11-18 07:19:42</t>
  </si>
  <si>
    <t>Ya sabía cual iba a escoger</t>
  </si>
  <si>
    <t>2025-11-18 10:16:29</t>
  </si>
  <si>
    <t>2025-11-18 10:11:03</t>
  </si>
  <si>
    <t>2025-11-18 15:26:41</t>
  </si>
  <si>
    <t>2025-11-18 15:15:41</t>
  </si>
  <si>
    <t>No se aportaba información relevante.</t>
  </si>
  <si>
    <t>Eliminar PI es necesario.</t>
  </si>
  <si>
    <t>2025-11-18 15:36:47</t>
  </si>
  <si>
    <t>2025-11-18 15:30:45</t>
  </si>
  <si>
    <t>2025-11-18 18:39:07</t>
  </si>
  <si>
    <t>2025-11-18 18:35:01</t>
  </si>
  <si>
    <t>Porque ya tenía la desicion tomada</t>
  </si>
  <si>
    <t>Evaluar y enseñar con mas seriedad los cursos de progra</t>
  </si>
  <si>
    <t>2025-11-18 23:39:11</t>
  </si>
  <si>
    <t>2025-11-18 23:34:01</t>
  </si>
  <si>
    <t>Tenía trabajos y tareas que hacer, lo que no me dejó tiempo para asistir.</t>
  </si>
  <si>
    <t>No sé si fueron o no poco útiles, pues no asistí.</t>
  </si>
  <si>
    <t>2025-11-19 09:09:02</t>
  </si>
  <si>
    <t>2025-11-19 08:53:59</t>
  </si>
  <si>
    <t>A las que no asistí mencionaron amigos que si fueron de utilidad para replantear sus decisiones.  Las asistidas si fueron valiosas.</t>
  </si>
  <si>
    <t>Hacen falta más profesores con vocación para la enseñanza, sobretodo en cursos de primer año. Profesores sin interés o sin pedagogía afectan el desempeño de los estudiantes.</t>
  </si>
  <si>
    <t>2025-11-20 08:25:51</t>
  </si>
  <si>
    <t>2025-11-20 08:21:17</t>
  </si>
  <si>
    <t>Falta de tiempo y organización</t>
  </si>
  <si>
    <t>Son útiles, pero ya había tomado mi decisión con anterioridad, y ya estaba seguro de qué enfasis escoger</t>
  </si>
  <si>
    <t>Hacer más énfasis en proyectos más que en exámenes concretos</t>
  </si>
  <si>
    <t>2025-11-20 09:38:06</t>
  </si>
  <si>
    <t>2025-11-20 09:02:13</t>
  </si>
  <si>
    <t>Me quedó incomodo por el horario que tenía</t>
  </si>
  <si>
    <t>Siento los cursos planeados están bien pensados en la teoría, pero en mi experiencia la sentí floja. Una de las materias que siento que más se podría sacar provecho y que no se hace es intro a compu, está bien  que den un overview de la carrera, pero definitivamente puede ser también una materia para enseñar herramientas que nunca se dan a fondo en la carrera, como git, yo y varios compañeros piensan igual, que git se ve muy por encima y no se le da tanta importancia, eso siendo una herramienta que uno va a usar por toda la carrera (Los comandos, GitFlow, ramas, conflictos, merge y pull requests, etc...). 
Otro punto que veo importante a destacar es Lenguaje Ensamblador, aunque sí es algo importante de aprender, siento que se le da mucha más atención de la que se debe, todo PI y Leng Ensamblador pueden ser un solo curso de 4 créditos, no 2 cursos con una carga de 6 para al final hacer lo mismo en ambos. Un punto también importante es el camino de Programación 1 al 2, ambas materias ven lo que deben y cumplen lo de la carta, pero hay temas que uno ve en Progra 1 y que se vuelve a ver a fondo otra vez en Progra 2, al menos se sintió que los profesores no saben bien que se ve en uno y en el otro, entonces cuando uno pasa a Progra 2 por cualquier cosa se ve todo de nuevo, cuando ese tiempo se podría usar para poder aclarar dudas de los temas más complicados de Progra 2, o incluso volviendo al ejemplo de Git, aprender mejor Git y todo lo que se puede llegar a hacer con el, en vez de volver a ver Listas Enlazadas como por tercera vez; se tiene que tener más claro para estudiantes y profesores que se ve en cada uno, para así tener una mejor experiencia académica para ambos y facilitar el proceso. 
En general siento que hubo falta organización al menos en estos 2 años, al menos en las materias que dependen de otras.</t>
  </si>
  <si>
    <t>2025-11-20 09:29:53</t>
  </si>
  <si>
    <t>2025-11-20 09:23:32</t>
  </si>
  <si>
    <t>Por el grupo informativo de la AECCI</t>
  </si>
  <si>
    <t>Por falta de disponibilidad justo en los días que se realizaron</t>
  </si>
  <si>
    <t>No creo que hayan sido poco útiles, todo lo contrario me orientaron a escoger el énfasis</t>
  </si>
  <si>
    <t>2025-11-20 12:31:31</t>
  </si>
  <si>
    <t>2025-11-20 12:27:01</t>
  </si>
  <si>
    <t>Estuve enfermo el día de las charlas</t>
  </si>
  <si>
    <t>2025-11-20 12:46:17</t>
  </si>
  <si>
    <t>2025-11-20 12:37:20</t>
  </si>
  <si>
    <t>Porque no me interesaba, ya sabía mi elección.</t>
  </si>
  <si>
    <t>Quitaría introducción a la computación o lo uniría con fundamentos de arquitectura, también quitaría el PI de ensamblador.  Cambiaria probabilidad y estadística, no he aprendido casi nada y voy a pasar con 10, lo regalan. Además, para que sepan el primer semestre en mi caso no programé nada, intro a compu tienen que cambiarlo si o si.</t>
  </si>
  <si>
    <t>2025-11-20 15:04:30</t>
  </si>
  <si>
    <t>2025-11-20 14:58:24</t>
  </si>
  <si>
    <t>Siento que mencionaron cosas que ya sabía.</t>
  </si>
  <si>
    <t>Por favor evaluar el desempeño de los profesores que asignan para dar los cursos. La gran mayoría de profesores no dominan la materia, no están preparados y no tienen habilidades pedagógicas. Son más un impedimento para seguir con la carrera que una fuente de sabiduría. Muchos se ganan el salario y no les interesa enseñar. Además, ser más estrictos con la elección de asistentes. Son incluso peores. Se ganan el salario (también), no revisan ni dan retroalimentación. Evalúan con un 100 cualquier trabajo entregado.</t>
  </si>
  <si>
    <t>2025-11-21 12:39:25</t>
  </si>
  <si>
    <t>2025-11-21 12:35:45</t>
  </si>
  <si>
    <t>No tuve tiempo</t>
  </si>
  <si>
    <t>2025-11-21 17:59:39</t>
  </si>
  <si>
    <t>2025-11-21 17:55:50</t>
  </si>
  <si>
    <t>2025-11-23 02:49:40</t>
  </si>
  <si>
    <t>2025-11-23 02:46:02</t>
  </si>
  <si>
    <t>No pude asistir a varias</t>
  </si>
  <si>
    <t>2025-11-26 22:30:54</t>
  </si>
  <si>
    <t>2025-11-26 22:26:46</t>
  </si>
  <si>
    <t>Casi no asistieron personas, por lo que no pude escuchar diversas dudas que a mi no se me hubieran ocurrido</t>
  </si>
  <si>
    <t>2025-11-27 18:15:14</t>
  </si>
  <si>
    <t>2025-11-27 18:11:25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</si>
</sst>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56"/>
  <sheetViews>
    <sheetView tabSelected="1" zoomScaleNormal="100" workbookViewId="0">
      <selection activeCell="H16" sqref="H16"/>
    </sheetView>
  </sheetViews>
  <sheetFormatPr baseColWidth="10" defaultRowHeight="12.75" x14ac:dyDescent="0.35"/>
  <cols>
    <col min="1" max="16" width="11.46484375"/>
    <col min="17" max="17" width="55.1328125" bestFit="1" customWidth="1"/>
    <col min="18" max="39" width="11.46484375"/>
    <col min="40" max="40" width="39.3984375" bestFit="1" customWidth="1"/>
    <col min="41" max="1022" width="11.46484375"/>
  </cols>
  <sheetData>
    <row r="1" spans="1:9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row>
    <row r="2" spans="1:91" x14ac:dyDescent="0.35">
      <c r="A2">
        <v>122</v>
      </c>
      <c r="B2" t="s">
        <v>91</v>
      </c>
      <c r="C2">
        <v>2</v>
      </c>
      <c r="D2" t="s">
        <v>92</v>
      </c>
      <c r="E2">
        <v>310794456</v>
      </c>
      <c r="F2" t="s">
        <v>93</v>
      </c>
      <c r="G2" t="s">
        <v>91</v>
      </c>
      <c r="H2" t="s">
        <v>94</v>
      </c>
      <c r="I2" t="s">
        <v>95</v>
      </c>
      <c r="J2" t="s">
        <v>95</v>
      </c>
      <c r="K2" t="s">
        <v>95</v>
      </c>
      <c r="L2" t="s">
        <v>95</v>
      </c>
      <c r="M2" t="s">
        <v>94</v>
      </c>
      <c r="N2" t="s">
        <v>96</v>
      </c>
      <c r="O2" t="s">
        <v>95</v>
      </c>
      <c r="P2" t="s">
        <v>97</v>
      </c>
      <c r="Q2" t="s">
        <v>98</v>
      </c>
      <c r="S2" t="s">
        <v>94</v>
      </c>
      <c r="T2" t="s">
        <v>94</v>
      </c>
      <c r="U2" t="s">
        <v>94</v>
      </c>
      <c r="V2" t="s">
        <v>94</v>
      </c>
      <c r="W2" t="s">
        <v>94</v>
      </c>
      <c r="X2" t="s">
        <v>95</v>
      </c>
      <c r="Y2" t="s">
        <v>95</v>
      </c>
      <c r="AM2" t="s">
        <v>99</v>
      </c>
      <c r="AN2" t="s">
        <v>100</v>
      </c>
      <c r="AO2" t="s">
        <v>101</v>
      </c>
      <c r="AP2" t="s">
        <v>101</v>
      </c>
      <c r="AQ2" t="s">
        <v>101</v>
      </c>
      <c r="AR2">
        <v>2</v>
      </c>
      <c r="AS2">
        <v>4</v>
      </c>
      <c r="AT2" t="s">
        <v>102</v>
      </c>
      <c r="AU2" t="s">
        <v>102</v>
      </c>
      <c r="AV2" t="s">
        <v>102</v>
      </c>
      <c r="AW2">
        <v>3</v>
      </c>
      <c r="AX2">
        <v>2</v>
      </c>
      <c r="AY2">
        <v>4</v>
      </c>
      <c r="AZ2" t="s">
        <v>102</v>
      </c>
      <c r="BA2">
        <v>3</v>
      </c>
      <c r="BB2" t="s">
        <v>102</v>
      </c>
      <c r="BC2">
        <v>4</v>
      </c>
      <c r="BD2" t="s">
        <v>102</v>
      </c>
      <c r="BE2" t="s">
        <v>102</v>
      </c>
      <c r="BF2">
        <v>3</v>
      </c>
      <c r="BG2">
        <v>3</v>
      </c>
      <c r="BH2">
        <v>3</v>
      </c>
      <c r="BI2">
        <v>3</v>
      </c>
      <c r="BJ2">
        <v>3</v>
      </c>
      <c r="BK2">
        <v>3</v>
      </c>
      <c r="BL2">
        <v>3</v>
      </c>
      <c r="BM2">
        <v>3</v>
      </c>
      <c r="BN2" t="s">
        <v>103</v>
      </c>
      <c r="BO2" t="s">
        <v>103</v>
      </c>
      <c r="BP2" t="s">
        <v>103</v>
      </c>
      <c r="BQ2">
        <v>3</v>
      </c>
      <c r="BR2" t="s">
        <v>103</v>
      </c>
      <c r="BS2" t="s">
        <v>103</v>
      </c>
      <c r="BU2">
        <v>419.32</v>
      </c>
      <c r="BV2">
        <v>124.2</v>
      </c>
      <c r="CI2">
        <v>295.12</v>
      </c>
    </row>
    <row r="3" spans="1:91" x14ac:dyDescent="0.35">
      <c r="A3">
        <v>127</v>
      </c>
      <c r="B3" t="s">
        <v>104</v>
      </c>
      <c r="C3">
        <v>2</v>
      </c>
      <c r="D3" t="s">
        <v>92</v>
      </c>
      <c r="E3">
        <v>1286334765</v>
      </c>
      <c r="F3" t="s">
        <v>105</v>
      </c>
      <c r="G3" t="s">
        <v>104</v>
      </c>
      <c r="H3" t="s">
        <v>94</v>
      </c>
      <c r="I3" t="s">
        <v>95</v>
      </c>
      <c r="J3" t="s">
        <v>95</v>
      </c>
      <c r="K3" t="s">
        <v>95</v>
      </c>
      <c r="L3" t="s">
        <v>95</v>
      </c>
      <c r="M3" t="s">
        <v>95</v>
      </c>
      <c r="N3" t="s">
        <v>106</v>
      </c>
      <c r="O3" t="s">
        <v>95</v>
      </c>
      <c r="P3" t="s">
        <v>107</v>
      </c>
      <c r="Q3" t="s">
        <v>108</v>
      </c>
      <c r="S3" t="s">
        <v>95</v>
      </c>
      <c r="T3" t="s">
        <v>95</v>
      </c>
      <c r="U3" t="s">
        <v>95</v>
      </c>
      <c r="V3" t="s">
        <v>95</v>
      </c>
      <c r="W3" t="s">
        <v>94</v>
      </c>
      <c r="X3" t="s">
        <v>94</v>
      </c>
      <c r="Y3" t="s">
        <v>94</v>
      </c>
      <c r="Z3" t="s">
        <v>109</v>
      </c>
      <c r="AM3" t="s">
        <v>110</v>
      </c>
      <c r="AN3" t="s">
        <v>100</v>
      </c>
      <c r="AO3">
        <v>2</v>
      </c>
      <c r="AP3">
        <v>2</v>
      </c>
      <c r="AQ3">
        <v>3</v>
      </c>
      <c r="AR3">
        <v>2</v>
      </c>
      <c r="AS3" t="s">
        <v>102</v>
      </c>
      <c r="AT3">
        <v>4</v>
      </c>
      <c r="AU3">
        <v>3</v>
      </c>
      <c r="AV3">
        <v>4</v>
      </c>
      <c r="AW3">
        <v>4</v>
      </c>
      <c r="AX3" t="s">
        <v>102</v>
      </c>
      <c r="AY3">
        <v>3</v>
      </c>
      <c r="AZ3">
        <v>2</v>
      </c>
      <c r="BA3">
        <v>4</v>
      </c>
      <c r="BB3">
        <v>4</v>
      </c>
      <c r="BC3">
        <v>4</v>
      </c>
      <c r="BD3">
        <v>4</v>
      </c>
      <c r="BE3">
        <v>3</v>
      </c>
      <c r="BF3">
        <v>3</v>
      </c>
      <c r="BG3">
        <v>2</v>
      </c>
      <c r="BH3" t="s">
        <v>111</v>
      </c>
      <c r="BI3">
        <v>3</v>
      </c>
      <c r="BJ3" t="s">
        <v>102</v>
      </c>
      <c r="BK3">
        <v>2</v>
      </c>
      <c r="BL3">
        <v>2</v>
      </c>
      <c r="BM3">
        <v>4</v>
      </c>
      <c r="BN3">
        <v>4</v>
      </c>
      <c r="BO3">
        <v>4</v>
      </c>
      <c r="BP3" t="s">
        <v>103</v>
      </c>
      <c r="BQ3" t="s">
        <v>103</v>
      </c>
      <c r="BR3">
        <v>4</v>
      </c>
      <c r="BS3" t="s">
        <v>103</v>
      </c>
      <c r="BU3">
        <v>2850.13</v>
      </c>
      <c r="BV3">
        <v>311.49</v>
      </c>
      <c r="CI3">
        <v>2538.64</v>
      </c>
    </row>
    <row r="4" spans="1:91" x14ac:dyDescent="0.35">
      <c r="A4">
        <v>129</v>
      </c>
      <c r="B4" t="s">
        <v>112</v>
      </c>
      <c r="C4">
        <v>2</v>
      </c>
      <c r="D4" t="s">
        <v>92</v>
      </c>
      <c r="E4">
        <v>1319549198</v>
      </c>
      <c r="F4" t="s">
        <v>113</v>
      </c>
      <c r="G4" t="s">
        <v>112</v>
      </c>
      <c r="H4" t="s">
        <v>94</v>
      </c>
      <c r="I4" t="s">
        <v>95</v>
      </c>
      <c r="J4" t="s">
        <v>95</v>
      </c>
      <c r="K4" t="s">
        <v>95</v>
      </c>
      <c r="L4" t="s">
        <v>94</v>
      </c>
      <c r="M4" t="s">
        <v>94</v>
      </c>
      <c r="O4" t="s">
        <v>95</v>
      </c>
      <c r="P4" t="s">
        <v>114</v>
      </c>
      <c r="Q4" t="s">
        <v>108</v>
      </c>
      <c r="S4" t="s">
        <v>94</v>
      </c>
      <c r="T4" t="s">
        <v>94</v>
      </c>
      <c r="U4" t="s">
        <v>94</v>
      </c>
      <c r="V4" t="s">
        <v>94</v>
      </c>
      <c r="W4" t="s">
        <v>94</v>
      </c>
      <c r="X4" t="s">
        <v>95</v>
      </c>
      <c r="Y4" t="s">
        <v>95</v>
      </c>
      <c r="Z4" t="s">
        <v>115</v>
      </c>
      <c r="AM4" t="s">
        <v>116</v>
      </c>
      <c r="AN4" t="s">
        <v>100</v>
      </c>
      <c r="AO4" t="s">
        <v>101</v>
      </c>
      <c r="AP4">
        <v>2</v>
      </c>
      <c r="AQ4">
        <v>3</v>
      </c>
      <c r="AR4">
        <v>4</v>
      </c>
      <c r="AS4" t="s">
        <v>102</v>
      </c>
      <c r="AT4">
        <v>4</v>
      </c>
      <c r="AU4">
        <v>3</v>
      </c>
      <c r="AV4">
        <v>3</v>
      </c>
      <c r="AW4" t="s">
        <v>102</v>
      </c>
      <c r="AX4" t="s">
        <v>102</v>
      </c>
      <c r="AY4" t="s">
        <v>102</v>
      </c>
      <c r="AZ4">
        <v>3</v>
      </c>
      <c r="BA4" t="s">
        <v>102</v>
      </c>
      <c r="BB4">
        <v>4</v>
      </c>
      <c r="BC4">
        <v>4</v>
      </c>
      <c r="BD4" t="s">
        <v>102</v>
      </c>
      <c r="BE4" t="s">
        <v>102</v>
      </c>
      <c r="BF4" t="s">
        <v>102</v>
      </c>
      <c r="BG4">
        <v>4</v>
      </c>
      <c r="BH4">
        <v>3</v>
      </c>
      <c r="BI4">
        <v>4</v>
      </c>
      <c r="BJ4" t="s">
        <v>102</v>
      </c>
      <c r="BK4">
        <v>4</v>
      </c>
      <c r="BL4">
        <v>3</v>
      </c>
      <c r="BM4">
        <v>4</v>
      </c>
      <c r="BN4">
        <v>4</v>
      </c>
      <c r="BO4">
        <v>4</v>
      </c>
      <c r="BP4">
        <v>4</v>
      </c>
      <c r="BQ4">
        <v>4</v>
      </c>
      <c r="BR4">
        <v>4</v>
      </c>
      <c r="BS4">
        <v>4</v>
      </c>
      <c r="BU4">
        <v>572.83000000000004</v>
      </c>
      <c r="BV4">
        <v>253.42</v>
      </c>
      <c r="CI4">
        <v>319.41000000000003</v>
      </c>
    </row>
    <row r="5" spans="1:91" x14ac:dyDescent="0.35">
      <c r="A5">
        <v>130</v>
      </c>
      <c r="B5" t="s">
        <v>117</v>
      </c>
      <c r="C5">
        <v>2</v>
      </c>
      <c r="D5" t="s">
        <v>92</v>
      </c>
      <c r="E5">
        <v>1998651038</v>
      </c>
      <c r="F5" t="s">
        <v>118</v>
      </c>
      <c r="G5" t="s">
        <v>117</v>
      </c>
      <c r="H5" t="s">
        <v>95</v>
      </c>
      <c r="I5" t="s">
        <v>95</v>
      </c>
      <c r="J5" t="s">
        <v>94</v>
      </c>
      <c r="K5" t="s">
        <v>95</v>
      </c>
      <c r="L5" t="s">
        <v>95</v>
      </c>
      <c r="M5" t="s">
        <v>95</v>
      </c>
      <c r="O5" t="s">
        <v>95</v>
      </c>
      <c r="P5" t="s">
        <v>119</v>
      </c>
      <c r="Q5" t="s">
        <v>108</v>
      </c>
      <c r="S5" t="s">
        <v>94</v>
      </c>
      <c r="T5" t="s">
        <v>94</v>
      </c>
      <c r="U5" t="s">
        <v>95</v>
      </c>
      <c r="V5" t="s">
        <v>95</v>
      </c>
      <c r="W5" t="s">
        <v>94</v>
      </c>
      <c r="X5" t="s">
        <v>95</v>
      </c>
      <c r="Y5" t="s">
        <v>95</v>
      </c>
      <c r="AM5" t="s">
        <v>120</v>
      </c>
      <c r="AN5" t="s">
        <v>100</v>
      </c>
      <c r="AO5" t="s">
        <v>101</v>
      </c>
      <c r="AP5" t="s">
        <v>101</v>
      </c>
      <c r="AQ5">
        <v>2</v>
      </c>
      <c r="AR5">
        <v>3</v>
      </c>
      <c r="AS5" t="s">
        <v>102</v>
      </c>
      <c r="AT5" t="s">
        <v>102</v>
      </c>
      <c r="AU5" t="s">
        <v>102</v>
      </c>
      <c r="AV5" t="s">
        <v>102</v>
      </c>
      <c r="AW5">
        <v>2</v>
      </c>
      <c r="AX5">
        <v>2</v>
      </c>
      <c r="AY5">
        <v>2</v>
      </c>
      <c r="AZ5">
        <v>2</v>
      </c>
      <c r="BA5">
        <v>4</v>
      </c>
      <c r="BB5">
        <v>4</v>
      </c>
      <c r="BC5">
        <v>4</v>
      </c>
      <c r="BD5" t="s">
        <v>102</v>
      </c>
      <c r="BE5" t="s">
        <v>102</v>
      </c>
      <c r="BF5" t="s">
        <v>102</v>
      </c>
      <c r="BG5">
        <v>4</v>
      </c>
      <c r="BH5" t="s">
        <v>111</v>
      </c>
      <c r="BI5" t="s">
        <v>102</v>
      </c>
      <c r="BJ5" t="s">
        <v>102</v>
      </c>
      <c r="BK5">
        <v>2</v>
      </c>
      <c r="BL5" t="s">
        <v>111</v>
      </c>
      <c r="BM5">
        <v>3</v>
      </c>
      <c r="BN5">
        <v>2</v>
      </c>
      <c r="BO5">
        <v>2</v>
      </c>
      <c r="BP5">
        <v>2</v>
      </c>
      <c r="BQ5" t="s">
        <v>103</v>
      </c>
      <c r="BR5">
        <v>3</v>
      </c>
      <c r="BS5" t="s">
        <v>103</v>
      </c>
      <c r="BT5" t="s">
        <v>121</v>
      </c>
      <c r="BU5">
        <v>757.87</v>
      </c>
      <c r="BV5">
        <v>131.44999999999999</v>
      </c>
      <c r="CI5">
        <v>626.41999999999996</v>
      </c>
    </row>
    <row r="6" spans="1:91" x14ac:dyDescent="0.35">
      <c r="A6">
        <v>131</v>
      </c>
      <c r="B6" t="s">
        <v>122</v>
      </c>
      <c r="C6">
        <v>2</v>
      </c>
      <c r="D6" t="s">
        <v>92</v>
      </c>
      <c r="E6">
        <v>1275424817</v>
      </c>
      <c r="F6" t="s">
        <v>123</v>
      </c>
      <c r="G6" t="s">
        <v>122</v>
      </c>
      <c r="H6" t="s">
        <v>94</v>
      </c>
      <c r="I6" t="s">
        <v>95</v>
      </c>
      <c r="J6" t="s">
        <v>95</v>
      </c>
      <c r="K6" t="s">
        <v>95</v>
      </c>
      <c r="L6" t="s">
        <v>95</v>
      </c>
      <c r="M6" t="s">
        <v>95</v>
      </c>
      <c r="O6" t="s">
        <v>95</v>
      </c>
      <c r="P6" t="s">
        <v>124</v>
      </c>
      <c r="Q6" t="s">
        <v>98</v>
      </c>
      <c r="S6" t="s">
        <v>94</v>
      </c>
      <c r="T6" t="s">
        <v>94</v>
      </c>
      <c r="U6" t="s">
        <v>95</v>
      </c>
      <c r="V6" t="s">
        <v>95</v>
      </c>
      <c r="W6" t="s">
        <v>95</v>
      </c>
      <c r="X6" t="s">
        <v>95</v>
      </c>
      <c r="Y6" t="s">
        <v>95</v>
      </c>
      <c r="AM6" t="s">
        <v>125</v>
      </c>
      <c r="AN6" t="s">
        <v>100</v>
      </c>
      <c r="AO6">
        <v>2</v>
      </c>
      <c r="AP6">
        <v>3</v>
      </c>
      <c r="AQ6">
        <v>4</v>
      </c>
      <c r="AR6" t="s">
        <v>126</v>
      </c>
      <c r="AS6" t="s">
        <v>102</v>
      </c>
      <c r="AT6">
        <v>4</v>
      </c>
      <c r="AU6">
        <v>3</v>
      </c>
      <c r="AV6">
        <v>2</v>
      </c>
      <c r="AW6">
        <v>4</v>
      </c>
      <c r="AX6">
        <v>3</v>
      </c>
      <c r="AY6">
        <v>2</v>
      </c>
      <c r="AZ6">
        <v>2</v>
      </c>
      <c r="BA6">
        <v>3</v>
      </c>
      <c r="BB6">
        <v>3</v>
      </c>
      <c r="BC6">
        <v>3</v>
      </c>
      <c r="BD6">
        <v>3</v>
      </c>
      <c r="BE6">
        <v>4</v>
      </c>
      <c r="BF6">
        <v>3</v>
      </c>
      <c r="BG6">
        <v>4</v>
      </c>
      <c r="BH6" t="s">
        <v>102</v>
      </c>
      <c r="BI6">
        <v>4</v>
      </c>
      <c r="BJ6" t="s">
        <v>102</v>
      </c>
      <c r="BK6">
        <v>3</v>
      </c>
      <c r="BL6">
        <v>4</v>
      </c>
      <c r="BM6" t="s">
        <v>103</v>
      </c>
      <c r="BN6" t="s">
        <v>103</v>
      </c>
      <c r="BO6" t="s">
        <v>103</v>
      </c>
      <c r="BP6">
        <v>4</v>
      </c>
      <c r="BQ6">
        <v>3</v>
      </c>
      <c r="BR6">
        <v>4</v>
      </c>
      <c r="BS6">
        <v>4</v>
      </c>
      <c r="BT6" t="s">
        <v>127</v>
      </c>
      <c r="BU6">
        <v>180.91</v>
      </c>
      <c r="BV6">
        <v>70.27</v>
      </c>
      <c r="CI6">
        <v>110.64</v>
      </c>
    </row>
    <row r="7" spans="1:91" x14ac:dyDescent="0.35">
      <c r="A7">
        <v>132</v>
      </c>
      <c r="B7" t="s">
        <v>128</v>
      </c>
      <c r="C7">
        <v>2</v>
      </c>
      <c r="D7" t="s">
        <v>92</v>
      </c>
      <c r="E7">
        <v>1490977168</v>
      </c>
      <c r="F7" t="s">
        <v>129</v>
      </c>
      <c r="G7" t="s">
        <v>128</v>
      </c>
      <c r="H7" t="s">
        <v>94</v>
      </c>
      <c r="I7" t="s">
        <v>94</v>
      </c>
      <c r="J7" t="s">
        <v>94</v>
      </c>
      <c r="K7" t="s">
        <v>95</v>
      </c>
      <c r="L7" t="s">
        <v>94</v>
      </c>
      <c r="M7" t="s">
        <v>94</v>
      </c>
      <c r="N7" t="s">
        <v>130</v>
      </c>
      <c r="O7" t="s">
        <v>95</v>
      </c>
      <c r="P7" t="s">
        <v>131</v>
      </c>
      <c r="Q7" t="s">
        <v>98</v>
      </c>
      <c r="S7" t="s">
        <v>95</v>
      </c>
      <c r="T7" t="s">
        <v>95</v>
      </c>
      <c r="U7" t="s">
        <v>95</v>
      </c>
      <c r="V7" t="s">
        <v>94</v>
      </c>
      <c r="W7" t="s">
        <v>94</v>
      </c>
      <c r="X7" t="s">
        <v>95</v>
      </c>
      <c r="Y7" t="s">
        <v>95</v>
      </c>
      <c r="Z7" t="s">
        <v>132</v>
      </c>
      <c r="AM7" t="s">
        <v>133</v>
      </c>
      <c r="AN7" t="s">
        <v>100</v>
      </c>
      <c r="AO7">
        <v>3</v>
      </c>
      <c r="AP7">
        <v>3</v>
      </c>
      <c r="AQ7">
        <v>4</v>
      </c>
      <c r="AR7" t="s">
        <v>126</v>
      </c>
      <c r="AS7">
        <v>4</v>
      </c>
      <c r="AT7" t="s">
        <v>102</v>
      </c>
      <c r="AU7">
        <v>4</v>
      </c>
      <c r="AV7" t="s">
        <v>111</v>
      </c>
      <c r="AW7" t="s">
        <v>111</v>
      </c>
      <c r="AX7" t="s">
        <v>111</v>
      </c>
      <c r="AY7" t="s">
        <v>111</v>
      </c>
      <c r="AZ7">
        <v>4</v>
      </c>
      <c r="BA7">
        <v>4</v>
      </c>
      <c r="BB7" t="s">
        <v>102</v>
      </c>
      <c r="BC7">
        <v>3</v>
      </c>
      <c r="BD7" t="s">
        <v>102</v>
      </c>
      <c r="BE7" t="s">
        <v>102</v>
      </c>
      <c r="BF7" t="s">
        <v>111</v>
      </c>
      <c r="BG7" t="s">
        <v>102</v>
      </c>
      <c r="BH7">
        <v>4</v>
      </c>
      <c r="BI7">
        <v>3</v>
      </c>
      <c r="BJ7">
        <v>3</v>
      </c>
      <c r="BK7">
        <v>3</v>
      </c>
      <c r="BL7" t="s">
        <v>111</v>
      </c>
      <c r="BM7">
        <v>4</v>
      </c>
      <c r="BN7">
        <v>3</v>
      </c>
      <c r="BO7">
        <v>4</v>
      </c>
      <c r="BP7" t="s">
        <v>103</v>
      </c>
      <c r="BQ7" t="s">
        <v>103</v>
      </c>
      <c r="BR7" t="s">
        <v>103</v>
      </c>
      <c r="BS7" t="s">
        <v>103</v>
      </c>
      <c r="BT7" t="s">
        <v>134</v>
      </c>
      <c r="BU7">
        <v>839.18</v>
      </c>
      <c r="BV7">
        <v>203.76</v>
      </c>
      <c r="CI7">
        <v>635.41999999999996</v>
      </c>
    </row>
    <row r="8" spans="1:91" x14ac:dyDescent="0.35">
      <c r="A8">
        <v>133</v>
      </c>
      <c r="B8" t="s">
        <v>135</v>
      </c>
      <c r="C8">
        <v>2</v>
      </c>
      <c r="D8" t="s">
        <v>92</v>
      </c>
      <c r="E8">
        <v>2013729193</v>
      </c>
      <c r="F8" t="s">
        <v>136</v>
      </c>
      <c r="G8" t="s">
        <v>135</v>
      </c>
      <c r="H8" t="s">
        <v>95</v>
      </c>
      <c r="I8" t="s">
        <v>95</v>
      </c>
      <c r="J8" t="s">
        <v>95</v>
      </c>
      <c r="K8" t="s">
        <v>95</v>
      </c>
      <c r="L8" t="s">
        <v>95</v>
      </c>
      <c r="M8" t="s">
        <v>94</v>
      </c>
      <c r="O8" t="s">
        <v>94</v>
      </c>
      <c r="Q8" t="s">
        <v>108</v>
      </c>
      <c r="R8" t="s">
        <v>137</v>
      </c>
      <c r="S8" t="s">
        <v>94</v>
      </c>
      <c r="T8" t="s">
        <v>94</v>
      </c>
      <c r="U8" t="s">
        <v>95</v>
      </c>
      <c r="V8" t="s">
        <v>95</v>
      </c>
      <c r="W8" t="s">
        <v>94</v>
      </c>
      <c r="X8" t="s">
        <v>95</v>
      </c>
      <c r="Y8" t="s">
        <v>95</v>
      </c>
      <c r="AG8">
        <v>4</v>
      </c>
      <c r="AH8" t="s">
        <v>138</v>
      </c>
      <c r="AI8" t="s">
        <v>139</v>
      </c>
      <c r="AJ8" t="s">
        <v>138</v>
      </c>
      <c r="AK8" t="s">
        <v>138</v>
      </c>
      <c r="AL8">
        <v>4</v>
      </c>
      <c r="AN8" t="s">
        <v>140</v>
      </c>
      <c r="AO8">
        <v>3</v>
      </c>
      <c r="AP8">
        <v>3</v>
      </c>
      <c r="AQ8">
        <v>4</v>
      </c>
      <c r="AR8">
        <v>3</v>
      </c>
      <c r="AS8">
        <v>4</v>
      </c>
      <c r="AT8" t="s">
        <v>102</v>
      </c>
      <c r="AU8" t="s">
        <v>102</v>
      </c>
      <c r="AV8" t="s">
        <v>102</v>
      </c>
      <c r="AW8">
        <v>3</v>
      </c>
      <c r="AX8" t="s">
        <v>111</v>
      </c>
      <c r="AY8">
        <v>3</v>
      </c>
      <c r="AZ8">
        <v>2</v>
      </c>
      <c r="BA8" t="s">
        <v>102</v>
      </c>
      <c r="BB8" t="s">
        <v>102</v>
      </c>
      <c r="BC8" t="s">
        <v>102</v>
      </c>
      <c r="BD8" t="s">
        <v>102</v>
      </c>
      <c r="BE8" t="s">
        <v>102</v>
      </c>
      <c r="BF8" t="s">
        <v>102</v>
      </c>
      <c r="BG8" t="s">
        <v>102</v>
      </c>
      <c r="BH8" t="s">
        <v>102</v>
      </c>
      <c r="BI8" t="s">
        <v>102</v>
      </c>
      <c r="BJ8" t="s">
        <v>102</v>
      </c>
      <c r="BK8" t="s">
        <v>102</v>
      </c>
      <c r="BL8" t="s">
        <v>102</v>
      </c>
      <c r="BM8" t="s">
        <v>103</v>
      </c>
      <c r="BN8" t="s">
        <v>103</v>
      </c>
      <c r="BO8" t="s">
        <v>103</v>
      </c>
      <c r="BP8" t="s">
        <v>103</v>
      </c>
      <c r="BQ8" t="s">
        <v>103</v>
      </c>
      <c r="BR8" t="s">
        <v>103</v>
      </c>
      <c r="BS8" t="s">
        <v>103</v>
      </c>
      <c r="BU8">
        <v>897.7</v>
      </c>
      <c r="BV8">
        <v>601.19000000000005</v>
      </c>
      <c r="CI8">
        <v>296.51</v>
      </c>
    </row>
    <row r="9" spans="1:91" x14ac:dyDescent="0.35">
      <c r="A9">
        <v>134</v>
      </c>
      <c r="B9" t="s">
        <v>141</v>
      </c>
      <c r="C9">
        <v>2</v>
      </c>
      <c r="D9" t="s">
        <v>92</v>
      </c>
      <c r="E9">
        <v>459912966</v>
      </c>
      <c r="F9" t="s">
        <v>142</v>
      </c>
      <c r="G9" t="s">
        <v>141</v>
      </c>
      <c r="H9" t="s">
        <v>94</v>
      </c>
      <c r="I9" t="s">
        <v>95</v>
      </c>
      <c r="J9" t="s">
        <v>95</v>
      </c>
      <c r="K9" t="s">
        <v>95</v>
      </c>
      <c r="L9" t="s">
        <v>94</v>
      </c>
      <c r="M9" t="s">
        <v>95</v>
      </c>
      <c r="O9" t="s">
        <v>95</v>
      </c>
      <c r="P9" t="s">
        <v>143</v>
      </c>
      <c r="Q9" t="s">
        <v>108</v>
      </c>
      <c r="S9" t="s">
        <v>95</v>
      </c>
      <c r="T9" t="s">
        <v>95</v>
      </c>
      <c r="U9" t="s">
        <v>95</v>
      </c>
      <c r="V9" t="s">
        <v>95</v>
      </c>
      <c r="W9" t="s">
        <v>94</v>
      </c>
      <c r="X9" t="s">
        <v>95</v>
      </c>
      <c r="Y9" t="s">
        <v>95</v>
      </c>
      <c r="AN9" t="s">
        <v>100</v>
      </c>
      <c r="AO9">
        <v>3</v>
      </c>
      <c r="AP9">
        <v>4</v>
      </c>
      <c r="AQ9">
        <v>4</v>
      </c>
      <c r="AR9" t="s">
        <v>126</v>
      </c>
      <c r="AS9">
        <v>4</v>
      </c>
      <c r="AT9">
        <v>3</v>
      </c>
      <c r="AU9">
        <v>4</v>
      </c>
      <c r="AV9">
        <v>3</v>
      </c>
      <c r="AW9">
        <v>4</v>
      </c>
      <c r="AX9">
        <v>4</v>
      </c>
      <c r="AY9">
        <v>4</v>
      </c>
      <c r="AZ9" t="s">
        <v>102</v>
      </c>
      <c r="BA9">
        <v>3</v>
      </c>
      <c r="BB9">
        <v>2</v>
      </c>
      <c r="BC9">
        <v>4</v>
      </c>
      <c r="BD9">
        <v>2</v>
      </c>
      <c r="BE9">
        <v>4</v>
      </c>
      <c r="BF9">
        <v>3</v>
      </c>
      <c r="BG9">
        <v>4</v>
      </c>
      <c r="BH9">
        <v>3</v>
      </c>
      <c r="BI9">
        <v>4</v>
      </c>
      <c r="BJ9" t="s">
        <v>102</v>
      </c>
      <c r="BK9">
        <v>4</v>
      </c>
      <c r="BL9">
        <v>4</v>
      </c>
      <c r="BM9" t="s">
        <v>103</v>
      </c>
      <c r="BN9" t="s">
        <v>103</v>
      </c>
      <c r="BO9" t="s">
        <v>103</v>
      </c>
      <c r="BP9" t="s">
        <v>103</v>
      </c>
      <c r="BQ9" t="s">
        <v>103</v>
      </c>
      <c r="BR9" t="s">
        <v>103</v>
      </c>
      <c r="BS9" t="s">
        <v>103</v>
      </c>
      <c r="BU9">
        <v>315.42</v>
      </c>
      <c r="BV9">
        <v>148.88</v>
      </c>
      <c r="CI9">
        <v>166.54</v>
      </c>
    </row>
    <row r="10" spans="1:91" x14ac:dyDescent="0.35">
      <c r="A10">
        <v>137</v>
      </c>
      <c r="B10" t="s">
        <v>144</v>
      </c>
      <c r="C10">
        <v>2</v>
      </c>
      <c r="D10" t="s">
        <v>92</v>
      </c>
      <c r="E10">
        <v>456906422</v>
      </c>
      <c r="F10" t="s">
        <v>145</v>
      </c>
      <c r="G10" t="s">
        <v>144</v>
      </c>
      <c r="H10" t="s">
        <v>94</v>
      </c>
      <c r="I10" t="s">
        <v>95</v>
      </c>
      <c r="J10" t="s">
        <v>95</v>
      </c>
      <c r="K10" t="s">
        <v>95</v>
      </c>
      <c r="L10" t="s">
        <v>95</v>
      </c>
      <c r="M10" t="s">
        <v>95</v>
      </c>
      <c r="O10" t="s">
        <v>94</v>
      </c>
      <c r="Q10" t="s">
        <v>108</v>
      </c>
      <c r="R10" t="s">
        <v>95</v>
      </c>
      <c r="S10" t="s">
        <v>94</v>
      </c>
      <c r="T10" t="s">
        <v>94</v>
      </c>
      <c r="U10" t="s">
        <v>95</v>
      </c>
      <c r="V10" t="s">
        <v>94</v>
      </c>
      <c r="W10" t="s">
        <v>95</v>
      </c>
      <c r="X10" t="s">
        <v>95</v>
      </c>
      <c r="Y10" t="s">
        <v>95</v>
      </c>
      <c r="AG10">
        <v>3</v>
      </c>
      <c r="AH10" t="s">
        <v>138</v>
      </c>
      <c r="AI10" t="s">
        <v>138</v>
      </c>
      <c r="AJ10" t="s">
        <v>138</v>
      </c>
      <c r="AK10" t="s">
        <v>138</v>
      </c>
      <c r="AL10">
        <v>3</v>
      </c>
      <c r="AM10" t="s">
        <v>146</v>
      </c>
      <c r="AN10" t="s">
        <v>140</v>
      </c>
      <c r="AO10">
        <v>2</v>
      </c>
      <c r="AP10">
        <v>3</v>
      </c>
      <c r="AQ10">
        <v>4</v>
      </c>
      <c r="AR10" t="s">
        <v>126</v>
      </c>
      <c r="AS10">
        <v>3</v>
      </c>
      <c r="AT10">
        <v>3</v>
      </c>
      <c r="AU10">
        <v>3</v>
      </c>
      <c r="AV10">
        <v>3</v>
      </c>
      <c r="AW10">
        <v>4</v>
      </c>
      <c r="AX10">
        <v>4</v>
      </c>
      <c r="AY10">
        <v>3</v>
      </c>
      <c r="AZ10">
        <v>3</v>
      </c>
      <c r="BA10">
        <v>3</v>
      </c>
      <c r="BB10">
        <v>4</v>
      </c>
      <c r="BC10">
        <v>3</v>
      </c>
      <c r="BD10">
        <v>3</v>
      </c>
      <c r="BE10">
        <v>3</v>
      </c>
      <c r="BF10">
        <v>4</v>
      </c>
      <c r="BG10">
        <v>4</v>
      </c>
      <c r="BH10">
        <v>4</v>
      </c>
      <c r="BI10">
        <v>3</v>
      </c>
      <c r="BJ10">
        <v>3</v>
      </c>
      <c r="BK10">
        <v>3</v>
      </c>
      <c r="BL10">
        <v>4</v>
      </c>
      <c r="BM10">
        <v>4</v>
      </c>
      <c r="BN10">
        <v>4</v>
      </c>
      <c r="BO10">
        <v>4</v>
      </c>
      <c r="BP10">
        <v>3</v>
      </c>
      <c r="BQ10">
        <v>3</v>
      </c>
      <c r="BR10">
        <v>4</v>
      </c>
      <c r="BS10">
        <v>3</v>
      </c>
      <c r="BU10">
        <v>361.15</v>
      </c>
      <c r="BV10">
        <v>168.85</v>
      </c>
      <c r="CI10">
        <v>192.3</v>
      </c>
    </row>
    <row r="11" spans="1:91" x14ac:dyDescent="0.35">
      <c r="A11">
        <v>138</v>
      </c>
      <c r="B11" t="s">
        <v>147</v>
      </c>
      <c r="C11">
        <v>2</v>
      </c>
      <c r="D11" t="s">
        <v>92</v>
      </c>
      <c r="E11">
        <v>110547326</v>
      </c>
      <c r="F11" t="s">
        <v>148</v>
      </c>
      <c r="G11" t="s">
        <v>147</v>
      </c>
      <c r="H11" t="s">
        <v>94</v>
      </c>
      <c r="I11" t="s">
        <v>95</v>
      </c>
      <c r="J11" t="s">
        <v>95</v>
      </c>
      <c r="K11" t="s">
        <v>95</v>
      </c>
      <c r="L11" t="s">
        <v>94</v>
      </c>
      <c r="M11" t="s">
        <v>94</v>
      </c>
      <c r="O11" t="s">
        <v>95</v>
      </c>
      <c r="P11" t="s">
        <v>149</v>
      </c>
      <c r="Q11" t="s">
        <v>150</v>
      </c>
      <c r="S11" t="s">
        <v>95</v>
      </c>
      <c r="T11" t="s">
        <v>95</v>
      </c>
      <c r="U11" t="s">
        <v>95</v>
      </c>
      <c r="V11" t="s">
        <v>94</v>
      </c>
      <c r="W11" t="s">
        <v>95</v>
      </c>
      <c r="X11" t="s">
        <v>94</v>
      </c>
      <c r="Y11" t="s">
        <v>95</v>
      </c>
      <c r="AM11" t="s">
        <v>151</v>
      </c>
      <c r="AN11" t="s">
        <v>140</v>
      </c>
      <c r="AO11">
        <v>2</v>
      </c>
      <c r="AP11">
        <v>2</v>
      </c>
      <c r="AQ11">
        <v>2</v>
      </c>
      <c r="AR11">
        <v>3</v>
      </c>
      <c r="AS11">
        <v>4</v>
      </c>
      <c r="AT11">
        <v>3</v>
      </c>
      <c r="AU11">
        <v>2</v>
      </c>
      <c r="AV11">
        <v>2</v>
      </c>
      <c r="AW11">
        <v>4</v>
      </c>
      <c r="AX11">
        <v>3</v>
      </c>
      <c r="AY11" t="s">
        <v>102</v>
      </c>
      <c r="AZ11" t="s">
        <v>102</v>
      </c>
      <c r="BA11">
        <v>4</v>
      </c>
      <c r="BB11">
        <v>3</v>
      </c>
      <c r="BC11">
        <v>3</v>
      </c>
      <c r="BD11">
        <v>3</v>
      </c>
      <c r="BE11">
        <v>2</v>
      </c>
      <c r="BF11" t="s">
        <v>111</v>
      </c>
      <c r="BG11">
        <v>4</v>
      </c>
      <c r="BH11" t="s">
        <v>102</v>
      </c>
      <c r="BI11" t="s">
        <v>102</v>
      </c>
      <c r="BJ11" t="s">
        <v>102</v>
      </c>
      <c r="BK11">
        <v>3</v>
      </c>
      <c r="BL11">
        <v>3</v>
      </c>
      <c r="BM11" t="s">
        <v>103</v>
      </c>
      <c r="BN11" t="s">
        <v>103</v>
      </c>
      <c r="BO11" t="s">
        <v>103</v>
      </c>
      <c r="BP11" t="s">
        <v>103</v>
      </c>
      <c r="BQ11">
        <v>3</v>
      </c>
      <c r="BR11" t="s">
        <v>103</v>
      </c>
      <c r="BS11" t="s">
        <v>103</v>
      </c>
      <c r="BT11" t="s">
        <v>152</v>
      </c>
      <c r="BU11">
        <v>518.54</v>
      </c>
      <c r="BV11">
        <v>256.77999999999997</v>
      </c>
      <c r="CI11">
        <v>261.76</v>
      </c>
    </row>
    <row r="12" spans="1:91" x14ac:dyDescent="0.35">
      <c r="A12">
        <v>139</v>
      </c>
      <c r="B12" t="s">
        <v>153</v>
      </c>
      <c r="C12">
        <v>2</v>
      </c>
      <c r="D12" t="s">
        <v>92</v>
      </c>
      <c r="E12">
        <v>942506205</v>
      </c>
      <c r="F12" t="s">
        <v>154</v>
      </c>
      <c r="G12" t="s">
        <v>153</v>
      </c>
      <c r="H12" t="s">
        <v>94</v>
      </c>
      <c r="I12" t="s">
        <v>95</v>
      </c>
      <c r="J12" t="s">
        <v>95</v>
      </c>
      <c r="K12" t="s">
        <v>95</v>
      </c>
      <c r="L12" t="s">
        <v>94</v>
      </c>
      <c r="M12" t="s">
        <v>94</v>
      </c>
      <c r="O12" t="s">
        <v>94</v>
      </c>
      <c r="Q12" t="s">
        <v>108</v>
      </c>
      <c r="R12" t="s">
        <v>137</v>
      </c>
      <c r="S12" t="s">
        <v>94</v>
      </c>
      <c r="T12" t="s">
        <v>94</v>
      </c>
      <c r="U12" t="s">
        <v>94</v>
      </c>
      <c r="V12" t="s">
        <v>94</v>
      </c>
      <c r="W12" t="s">
        <v>94</v>
      </c>
      <c r="X12" t="s">
        <v>94</v>
      </c>
      <c r="Y12" t="s">
        <v>95</v>
      </c>
      <c r="AG12">
        <v>4</v>
      </c>
      <c r="AH12" t="s">
        <v>138</v>
      </c>
      <c r="AI12">
        <v>4</v>
      </c>
      <c r="AJ12">
        <v>4</v>
      </c>
      <c r="AK12">
        <v>4</v>
      </c>
      <c r="AL12">
        <v>4</v>
      </c>
      <c r="AN12" t="s">
        <v>140</v>
      </c>
      <c r="AO12" t="s">
        <v>101</v>
      </c>
      <c r="AP12">
        <v>2</v>
      </c>
      <c r="AQ12">
        <v>4</v>
      </c>
      <c r="AR12" t="s">
        <v>126</v>
      </c>
      <c r="AS12">
        <v>4</v>
      </c>
      <c r="AT12">
        <v>4</v>
      </c>
      <c r="AU12">
        <v>3</v>
      </c>
      <c r="AV12">
        <v>3</v>
      </c>
      <c r="AW12">
        <v>2</v>
      </c>
      <c r="AX12">
        <v>3</v>
      </c>
      <c r="AY12">
        <v>4</v>
      </c>
      <c r="AZ12">
        <v>3</v>
      </c>
      <c r="BA12" t="s">
        <v>102</v>
      </c>
      <c r="BB12" t="s">
        <v>102</v>
      </c>
      <c r="BC12">
        <v>2</v>
      </c>
      <c r="BD12">
        <v>2</v>
      </c>
      <c r="BE12">
        <v>4</v>
      </c>
      <c r="BF12">
        <v>3</v>
      </c>
      <c r="BG12">
        <v>4</v>
      </c>
      <c r="BH12" t="s">
        <v>111</v>
      </c>
      <c r="BI12">
        <v>3</v>
      </c>
      <c r="BJ12">
        <v>2</v>
      </c>
      <c r="BK12">
        <v>3</v>
      </c>
      <c r="BL12" t="s">
        <v>102</v>
      </c>
      <c r="BM12" t="s">
        <v>103</v>
      </c>
      <c r="BN12" t="s">
        <v>103</v>
      </c>
      <c r="BO12" t="s">
        <v>103</v>
      </c>
      <c r="BP12" t="s">
        <v>103</v>
      </c>
      <c r="BQ12" t="s">
        <v>103</v>
      </c>
      <c r="BR12" t="s">
        <v>103</v>
      </c>
      <c r="BS12" t="s">
        <v>103</v>
      </c>
      <c r="BU12">
        <v>505.36</v>
      </c>
      <c r="BV12">
        <v>283.2</v>
      </c>
      <c r="CI12">
        <v>222.16</v>
      </c>
    </row>
    <row r="13" spans="1:91" x14ac:dyDescent="0.35">
      <c r="A13">
        <v>140</v>
      </c>
      <c r="B13" t="s">
        <v>155</v>
      </c>
      <c r="C13">
        <v>2</v>
      </c>
      <c r="D13" t="s">
        <v>92</v>
      </c>
      <c r="E13">
        <v>251638850</v>
      </c>
      <c r="F13" t="s">
        <v>156</v>
      </c>
      <c r="G13" t="s">
        <v>155</v>
      </c>
      <c r="H13" t="s">
        <v>95</v>
      </c>
      <c r="I13" t="s">
        <v>95</v>
      </c>
      <c r="J13" t="s">
        <v>95</v>
      </c>
      <c r="K13" t="s">
        <v>95</v>
      </c>
      <c r="L13" t="s">
        <v>94</v>
      </c>
      <c r="M13" t="s">
        <v>95</v>
      </c>
      <c r="O13" t="s">
        <v>94</v>
      </c>
      <c r="Q13" t="s">
        <v>98</v>
      </c>
      <c r="R13" t="s">
        <v>95</v>
      </c>
      <c r="S13" t="s">
        <v>95</v>
      </c>
      <c r="T13" t="s">
        <v>95</v>
      </c>
      <c r="U13" t="s">
        <v>95</v>
      </c>
      <c r="V13" t="s">
        <v>95</v>
      </c>
      <c r="W13" t="s">
        <v>94</v>
      </c>
      <c r="X13" t="s">
        <v>95</v>
      </c>
      <c r="Y13" t="s">
        <v>95</v>
      </c>
      <c r="AG13">
        <v>3</v>
      </c>
      <c r="AH13" t="s">
        <v>138</v>
      </c>
      <c r="AI13" t="s">
        <v>138</v>
      </c>
      <c r="AJ13" t="s">
        <v>138</v>
      </c>
      <c r="AK13" t="s">
        <v>138</v>
      </c>
      <c r="AL13" t="s">
        <v>138</v>
      </c>
      <c r="AN13" t="s">
        <v>140</v>
      </c>
      <c r="AO13">
        <v>2</v>
      </c>
      <c r="AP13">
        <v>2</v>
      </c>
      <c r="AQ13">
        <v>3</v>
      </c>
      <c r="AR13">
        <v>3</v>
      </c>
      <c r="AS13">
        <v>4</v>
      </c>
      <c r="AT13">
        <v>3</v>
      </c>
      <c r="AU13">
        <v>3</v>
      </c>
      <c r="AV13">
        <v>2</v>
      </c>
      <c r="AW13">
        <v>3</v>
      </c>
      <c r="AX13" t="s">
        <v>102</v>
      </c>
      <c r="AY13">
        <v>3</v>
      </c>
      <c r="AZ13">
        <v>4</v>
      </c>
      <c r="BA13">
        <v>3</v>
      </c>
      <c r="BB13">
        <v>2</v>
      </c>
      <c r="BC13">
        <v>3</v>
      </c>
      <c r="BD13">
        <v>3</v>
      </c>
      <c r="BE13">
        <v>3</v>
      </c>
      <c r="BF13">
        <v>3</v>
      </c>
      <c r="BG13">
        <v>2</v>
      </c>
      <c r="BH13" t="s">
        <v>111</v>
      </c>
      <c r="BI13" t="s">
        <v>111</v>
      </c>
      <c r="BJ13">
        <v>3</v>
      </c>
      <c r="BK13">
        <v>2</v>
      </c>
      <c r="BL13">
        <v>3</v>
      </c>
      <c r="BM13">
        <v>2</v>
      </c>
      <c r="BN13">
        <v>3</v>
      </c>
      <c r="BO13" t="s">
        <v>157</v>
      </c>
      <c r="BP13">
        <v>3</v>
      </c>
      <c r="BQ13" t="s">
        <v>157</v>
      </c>
      <c r="BR13">
        <v>3</v>
      </c>
      <c r="BS13" t="s">
        <v>157</v>
      </c>
      <c r="BU13">
        <v>203.61</v>
      </c>
      <c r="BV13">
        <v>85.29</v>
      </c>
      <c r="CI13">
        <v>118.32</v>
      </c>
    </row>
    <row r="14" spans="1:91" x14ac:dyDescent="0.35">
      <c r="A14">
        <v>141</v>
      </c>
      <c r="B14" t="s">
        <v>158</v>
      </c>
      <c r="C14">
        <v>2</v>
      </c>
      <c r="D14" t="s">
        <v>92</v>
      </c>
      <c r="E14">
        <v>312232919</v>
      </c>
      <c r="F14" t="s">
        <v>159</v>
      </c>
      <c r="G14" t="s">
        <v>158</v>
      </c>
      <c r="H14" t="s">
        <v>94</v>
      </c>
      <c r="I14" t="s">
        <v>95</v>
      </c>
      <c r="J14" t="s">
        <v>95</v>
      </c>
      <c r="K14" t="s">
        <v>95</v>
      </c>
      <c r="L14" t="s">
        <v>95</v>
      </c>
      <c r="M14" t="s">
        <v>95</v>
      </c>
      <c r="O14" t="s">
        <v>94</v>
      </c>
      <c r="Q14" t="s">
        <v>150</v>
      </c>
      <c r="R14" t="s">
        <v>95</v>
      </c>
      <c r="S14" t="s">
        <v>94</v>
      </c>
      <c r="T14" t="s">
        <v>94</v>
      </c>
      <c r="U14" t="s">
        <v>95</v>
      </c>
      <c r="V14" t="s">
        <v>95</v>
      </c>
      <c r="W14" t="s">
        <v>94</v>
      </c>
      <c r="X14" t="s">
        <v>95</v>
      </c>
      <c r="Y14" t="s">
        <v>95</v>
      </c>
      <c r="AG14" t="s">
        <v>139</v>
      </c>
      <c r="AH14" t="s">
        <v>138</v>
      </c>
      <c r="AI14" t="s">
        <v>138</v>
      </c>
      <c r="AJ14" t="s">
        <v>138</v>
      </c>
      <c r="AK14" t="s">
        <v>138</v>
      </c>
      <c r="AL14" t="s">
        <v>160</v>
      </c>
      <c r="AN14" t="s">
        <v>161</v>
      </c>
      <c r="AO14">
        <v>2</v>
      </c>
      <c r="AP14">
        <v>2</v>
      </c>
      <c r="AQ14">
        <v>4</v>
      </c>
      <c r="AR14">
        <v>4</v>
      </c>
      <c r="AS14" t="s">
        <v>102</v>
      </c>
      <c r="AT14" t="s">
        <v>102</v>
      </c>
      <c r="AU14">
        <v>3</v>
      </c>
      <c r="AV14">
        <v>4</v>
      </c>
      <c r="AW14">
        <v>2</v>
      </c>
      <c r="AX14">
        <v>2</v>
      </c>
      <c r="AY14">
        <v>3</v>
      </c>
      <c r="AZ14">
        <v>4</v>
      </c>
      <c r="BA14" t="s">
        <v>102</v>
      </c>
      <c r="BB14" t="s">
        <v>102</v>
      </c>
      <c r="BC14">
        <v>4</v>
      </c>
      <c r="BD14">
        <v>4</v>
      </c>
      <c r="BE14" t="s">
        <v>102</v>
      </c>
      <c r="BF14" t="s">
        <v>102</v>
      </c>
      <c r="BG14">
        <v>4</v>
      </c>
      <c r="BH14" t="s">
        <v>111</v>
      </c>
      <c r="BI14">
        <v>4</v>
      </c>
      <c r="BJ14">
        <v>4</v>
      </c>
      <c r="BK14">
        <v>2</v>
      </c>
      <c r="BL14">
        <v>2</v>
      </c>
      <c r="BM14">
        <v>3</v>
      </c>
      <c r="BN14">
        <v>3</v>
      </c>
      <c r="BO14">
        <v>3</v>
      </c>
      <c r="BP14">
        <v>3</v>
      </c>
      <c r="BQ14">
        <v>3</v>
      </c>
      <c r="BR14">
        <v>3</v>
      </c>
      <c r="BS14">
        <v>3</v>
      </c>
      <c r="BU14">
        <v>304.41000000000003</v>
      </c>
      <c r="BV14">
        <v>173.39</v>
      </c>
      <c r="CI14">
        <v>131.02000000000001</v>
      </c>
    </row>
    <row r="15" spans="1:91" x14ac:dyDescent="0.35">
      <c r="A15">
        <v>143</v>
      </c>
      <c r="B15" t="s">
        <v>162</v>
      </c>
      <c r="C15">
        <v>2</v>
      </c>
      <c r="D15" t="s">
        <v>92</v>
      </c>
      <c r="E15">
        <v>616771799</v>
      </c>
      <c r="F15" t="s">
        <v>163</v>
      </c>
      <c r="G15" t="s">
        <v>162</v>
      </c>
      <c r="H15" t="s">
        <v>95</v>
      </c>
      <c r="I15" t="s">
        <v>95</v>
      </c>
      <c r="J15" t="s">
        <v>95</v>
      </c>
      <c r="K15" t="s">
        <v>95</v>
      </c>
      <c r="L15" t="s">
        <v>95</v>
      </c>
      <c r="M15" t="s">
        <v>94</v>
      </c>
      <c r="O15" t="s">
        <v>94</v>
      </c>
      <c r="Q15" t="s">
        <v>164</v>
      </c>
      <c r="R15" t="s">
        <v>94</v>
      </c>
      <c r="S15" t="s">
        <v>94</v>
      </c>
      <c r="T15" t="s">
        <v>94</v>
      </c>
      <c r="U15" t="s">
        <v>95</v>
      </c>
      <c r="V15" t="s">
        <v>95</v>
      </c>
      <c r="W15" t="s">
        <v>94</v>
      </c>
      <c r="X15" t="s">
        <v>95</v>
      </c>
      <c r="Y15" t="s">
        <v>95</v>
      </c>
      <c r="AG15" t="s">
        <v>139</v>
      </c>
      <c r="AH15" t="s">
        <v>138</v>
      </c>
      <c r="AI15" t="s">
        <v>138</v>
      </c>
      <c r="AJ15" t="s">
        <v>138</v>
      </c>
      <c r="AK15" t="s">
        <v>138</v>
      </c>
      <c r="AL15" t="s">
        <v>139</v>
      </c>
      <c r="AN15" t="s">
        <v>140</v>
      </c>
      <c r="AO15">
        <v>3</v>
      </c>
      <c r="AP15">
        <v>4</v>
      </c>
      <c r="AQ15" t="s">
        <v>126</v>
      </c>
      <c r="AR15" t="s">
        <v>126</v>
      </c>
      <c r="AS15">
        <v>4</v>
      </c>
      <c r="AT15">
        <v>4</v>
      </c>
      <c r="AU15">
        <v>4</v>
      </c>
      <c r="AV15">
        <v>4</v>
      </c>
      <c r="AW15">
        <v>3</v>
      </c>
      <c r="AX15">
        <v>3</v>
      </c>
      <c r="AY15">
        <v>3</v>
      </c>
      <c r="AZ15">
        <v>4</v>
      </c>
      <c r="BA15">
        <v>4</v>
      </c>
      <c r="BB15" t="s">
        <v>102</v>
      </c>
      <c r="BC15">
        <v>4</v>
      </c>
      <c r="BD15" t="s">
        <v>102</v>
      </c>
      <c r="BE15">
        <v>4</v>
      </c>
      <c r="BF15">
        <v>3</v>
      </c>
      <c r="BG15">
        <v>3</v>
      </c>
      <c r="BH15">
        <v>3</v>
      </c>
      <c r="BI15">
        <v>3</v>
      </c>
      <c r="BJ15">
        <v>3</v>
      </c>
      <c r="BK15">
        <v>4</v>
      </c>
      <c r="BL15">
        <v>4</v>
      </c>
      <c r="BM15">
        <v>4</v>
      </c>
      <c r="BN15">
        <v>4</v>
      </c>
      <c r="BO15">
        <v>4</v>
      </c>
      <c r="BP15" t="s">
        <v>103</v>
      </c>
      <c r="BQ15">
        <v>3</v>
      </c>
      <c r="BR15">
        <v>4</v>
      </c>
      <c r="BS15">
        <v>4</v>
      </c>
      <c r="BU15">
        <v>205.48</v>
      </c>
      <c r="BV15">
        <v>83.45</v>
      </c>
      <c r="CI15">
        <v>122.03</v>
      </c>
    </row>
    <row r="16" spans="1:91" x14ac:dyDescent="0.35">
      <c r="A16">
        <v>146</v>
      </c>
      <c r="B16" t="s">
        <v>165</v>
      </c>
      <c r="C16">
        <v>2</v>
      </c>
      <c r="D16" t="s">
        <v>92</v>
      </c>
      <c r="E16">
        <v>205228764</v>
      </c>
      <c r="F16" t="s">
        <v>166</v>
      </c>
      <c r="G16" t="s">
        <v>165</v>
      </c>
      <c r="H16" t="s">
        <v>94</v>
      </c>
      <c r="I16" t="s">
        <v>95</v>
      </c>
      <c r="J16" t="s">
        <v>95</v>
      </c>
      <c r="K16" t="s">
        <v>95</v>
      </c>
      <c r="L16" t="s">
        <v>95</v>
      </c>
      <c r="M16" t="s">
        <v>95</v>
      </c>
      <c r="O16" t="s">
        <v>94</v>
      </c>
      <c r="Q16" t="s">
        <v>108</v>
      </c>
      <c r="R16" t="s">
        <v>137</v>
      </c>
      <c r="S16" t="s">
        <v>95</v>
      </c>
      <c r="T16" t="s">
        <v>95</v>
      </c>
      <c r="U16" t="s">
        <v>94</v>
      </c>
      <c r="V16" t="s">
        <v>95</v>
      </c>
      <c r="W16" t="s">
        <v>94</v>
      </c>
      <c r="X16" t="s">
        <v>95</v>
      </c>
      <c r="Y16" t="s">
        <v>95</v>
      </c>
      <c r="AG16" t="s">
        <v>139</v>
      </c>
      <c r="AH16" t="s">
        <v>138</v>
      </c>
      <c r="AI16" t="s">
        <v>138</v>
      </c>
      <c r="AJ16" t="s">
        <v>138</v>
      </c>
      <c r="AK16" t="s">
        <v>138</v>
      </c>
      <c r="AL16" t="s">
        <v>139</v>
      </c>
      <c r="AN16" t="s">
        <v>140</v>
      </c>
      <c r="AO16">
        <v>2</v>
      </c>
      <c r="AP16">
        <v>4</v>
      </c>
      <c r="AQ16" t="s">
        <v>126</v>
      </c>
      <c r="AR16" t="s">
        <v>126</v>
      </c>
      <c r="AS16" t="s">
        <v>102</v>
      </c>
      <c r="AT16">
        <v>4</v>
      </c>
      <c r="AU16">
        <v>3</v>
      </c>
      <c r="AV16">
        <v>2</v>
      </c>
      <c r="AW16">
        <v>4</v>
      </c>
      <c r="AX16">
        <v>4</v>
      </c>
      <c r="AY16">
        <v>4</v>
      </c>
      <c r="AZ16" t="s">
        <v>102</v>
      </c>
      <c r="BA16" t="s">
        <v>102</v>
      </c>
      <c r="BB16" t="s">
        <v>102</v>
      </c>
      <c r="BC16">
        <v>4</v>
      </c>
      <c r="BD16">
        <v>3</v>
      </c>
      <c r="BE16">
        <v>2</v>
      </c>
      <c r="BF16">
        <v>2</v>
      </c>
      <c r="BG16">
        <v>3</v>
      </c>
      <c r="BH16">
        <v>3</v>
      </c>
      <c r="BI16">
        <v>3</v>
      </c>
      <c r="BJ16">
        <v>3</v>
      </c>
      <c r="BK16">
        <v>3</v>
      </c>
      <c r="BL16">
        <v>3</v>
      </c>
      <c r="BM16" t="s">
        <v>103</v>
      </c>
      <c r="BN16">
        <v>4</v>
      </c>
      <c r="BO16" t="s">
        <v>103</v>
      </c>
      <c r="BP16" t="s">
        <v>103</v>
      </c>
      <c r="BQ16">
        <v>4</v>
      </c>
      <c r="BR16" t="s">
        <v>103</v>
      </c>
      <c r="BS16" t="s">
        <v>103</v>
      </c>
      <c r="BU16">
        <v>249.53</v>
      </c>
      <c r="BV16">
        <v>105.21</v>
      </c>
      <c r="CI16">
        <v>144.32</v>
      </c>
    </row>
    <row r="17" spans="1:87" x14ac:dyDescent="0.35">
      <c r="A17">
        <v>147</v>
      </c>
      <c r="B17" t="s">
        <v>167</v>
      </c>
      <c r="C17">
        <v>2</v>
      </c>
      <c r="D17" t="s">
        <v>92</v>
      </c>
      <c r="E17">
        <v>491778345</v>
      </c>
      <c r="F17" t="s">
        <v>168</v>
      </c>
      <c r="G17" t="s">
        <v>167</v>
      </c>
      <c r="H17" t="s">
        <v>95</v>
      </c>
      <c r="I17" t="s">
        <v>95</v>
      </c>
      <c r="J17" t="s">
        <v>95</v>
      </c>
      <c r="K17" t="s">
        <v>95</v>
      </c>
      <c r="L17" t="s">
        <v>94</v>
      </c>
      <c r="M17" t="s">
        <v>94</v>
      </c>
      <c r="O17" t="s">
        <v>95</v>
      </c>
      <c r="P17" t="s">
        <v>169</v>
      </c>
      <c r="Q17" t="s">
        <v>108</v>
      </c>
      <c r="S17" t="s">
        <v>95</v>
      </c>
      <c r="T17" t="s">
        <v>94</v>
      </c>
      <c r="U17" t="s">
        <v>95</v>
      </c>
      <c r="V17" t="s">
        <v>95</v>
      </c>
      <c r="W17" t="s">
        <v>94</v>
      </c>
      <c r="X17" t="s">
        <v>95</v>
      </c>
      <c r="Y17" t="s">
        <v>95</v>
      </c>
      <c r="AM17" t="s">
        <v>170</v>
      </c>
      <c r="AN17" t="s">
        <v>140</v>
      </c>
      <c r="AO17">
        <v>2</v>
      </c>
      <c r="AP17">
        <v>3</v>
      </c>
      <c r="AQ17">
        <v>4</v>
      </c>
      <c r="AR17" t="s">
        <v>126</v>
      </c>
      <c r="AS17">
        <v>4</v>
      </c>
      <c r="AT17">
        <v>3</v>
      </c>
      <c r="AU17">
        <v>3</v>
      </c>
      <c r="AV17">
        <v>4</v>
      </c>
      <c r="AW17">
        <v>2</v>
      </c>
      <c r="AX17" t="s">
        <v>111</v>
      </c>
      <c r="AY17">
        <v>3</v>
      </c>
      <c r="AZ17" t="s">
        <v>102</v>
      </c>
      <c r="BA17">
        <v>4</v>
      </c>
      <c r="BB17" t="s">
        <v>102</v>
      </c>
      <c r="BC17">
        <v>3</v>
      </c>
      <c r="BD17">
        <v>2</v>
      </c>
      <c r="BE17">
        <v>3</v>
      </c>
      <c r="BF17">
        <v>4</v>
      </c>
      <c r="BG17">
        <v>4</v>
      </c>
      <c r="BH17" t="s">
        <v>102</v>
      </c>
      <c r="BI17">
        <v>4</v>
      </c>
      <c r="BJ17" t="s">
        <v>102</v>
      </c>
      <c r="BK17">
        <v>2</v>
      </c>
      <c r="BL17">
        <v>3</v>
      </c>
      <c r="BM17">
        <v>3</v>
      </c>
      <c r="BN17">
        <v>4</v>
      </c>
      <c r="BO17" t="s">
        <v>103</v>
      </c>
      <c r="BP17" t="s">
        <v>103</v>
      </c>
      <c r="BQ17">
        <v>4</v>
      </c>
      <c r="BR17" t="s">
        <v>103</v>
      </c>
      <c r="BS17" t="s">
        <v>103</v>
      </c>
      <c r="BT17" t="s">
        <v>171</v>
      </c>
      <c r="BU17">
        <v>665.73</v>
      </c>
      <c r="BV17">
        <v>135.25</v>
      </c>
      <c r="CI17">
        <v>530.48</v>
      </c>
    </row>
    <row r="18" spans="1:87" x14ac:dyDescent="0.35">
      <c r="A18">
        <v>148</v>
      </c>
      <c r="B18" t="s">
        <v>172</v>
      </c>
      <c r="C18">
        <v>2</v>
      </c>
      <c r="D18" t="s">
        <v>92</v>
      </c>
      <c r="E18">
        <v>1171498165</v>
      </c>
      <c r="F18" t="s">
        <v>173</v>
      </c>
      <c r="G18" t="s">
        <v>172</v>
      </c>
      <c r="H18" t="s">
        <v>94</v>
      </c>
      <c r="I18" t="s">
        <v>95</v>
      </c>
      <c r="J18" t="s">
        <v>95</v>
      </c>
      <c r="K18" t="s">
        <v>95</v>
      </c>
      <c r="L18" t="s">
        <v>95</v>
      </c>
      <c r="M18" t="s">
        <v>94</v>
      </c>
      <c r="O18" t="s">
        <v>94</v>
      </c>
      <c r="Q18" t="s">
        <v>98</v>
      </c>
      <c r="R18" t="s">
        <v>95</v>
      </c>
      <c r="S18" t="s">
        <v>94</v>
      </c>
      <c r="T18" t="s">
        <v>95</v>
      </c>
      <c r="U18" t="s">
        <v>95</v>
      </c>
      <c r="V18" t="s">
        <v>94</v>
      </c>
      <c r="W18" t="s">
        <v>94</v>
      </c>
      <c r="X18" t="s">
        <v>95</v>
      </c>
      <c r="Y18" t="s">
        <v>95</v>
      </c>
      <c r="AG18">
        <v>3</v>
      </c>
      <c r="AH18" t="s">
        <v>138</v>
      </c>
      <c r="AI18" t="s">
        <v>138</v>
      </c>
      <c r="AJ18" t="s">
        <v>138</v>
      </c>
      <c r="AK18" t="s">
        <v>138</v>
      </c>
      <c r="AL18">
        <v>3</v>
      </c>
      <c r="AN18" t="s">
        <v>140</v>
      </c>
      <c r="AO18">
        <v>3</v>
      </c>
      <c r="AP18">
        <v>3</v>
      </c>
      <c r="AQ18">
        <v>3</v>
      </c>
      <c r="AR18">
        <v>3</v>
      </c>
      <c r="AS18">
        <v>4</v>
      </c>
      <c r="AT18" t="s">
        <v>102</v>
      </c>
      <c r="AU18">
        <v>3</v>
      </c>
      <c r="AV18">
        <v>3</v>
      </c>
      <c r="AW18">
        <v>3</v>
      </c>
      <c r="AX18">
        <v>3</v>
      </c>
      <c r="AY18" t="s">
        <v>111</v>
      </c>
      <c r="AZ18">
        <v>2</v>
      </c>
      <c r="BA18">
        <v>3</v>
      </c>
      <c r="BB18">
        <v>4</v>
      </c>
      <c r="BC18">
        <v>3</v>
      </c>
      <c r="BD18">
        <v>4</v>
      </c>
      <c r="BE18">
        <v>4</v>
      </c>
      <c r="BF18">
        <v>4</v>
      </c>
      <c r="BG18">
        <v>3</v>
      </c>
      <c r="BH18">
        <v>3</v>
      </c>
      <c r="BI18">
        <v>4</v>
      </c>
      <c r="BJ18">
        <v>4</v>
      </c>
      <c r="BK18">
        <v>2</v>
      </c>
      <c r="BL18">
        <v>2</v>
      </c>
      <c r="BM18" t="s">
        <v>103</v>
      </c>
      <c r="BN18" t="s">
        <v>103</v>
      </c>
      <c r="BO18" t="s">
        <v>103</v>
      </c>
      <c r="BP18" t="s">
        <v>103</v>
      </c>
      <c r="BQ18">
        <v>3</v>
      </c>
      <c r="BR18" t="s">
        <v>103</v>
      </c>
      <c r="BS18" t="s">
        <v>103</v>
      </c>
      <c r="BU18">
        <v>430.41</v>
      </c>
      <c r="BV18">
        <v>181.01</v>
      </c>
      <c r="CI18">
        <v>249.4</v>
      </c>
    </row>
    <row r="19" spans="1:87" x14ac:dyDescent="0.35">
      <c r="A19">
        <v>149</v>
      </c>
      <c r="B19" t="s">
        <v>174</v>
      </c>
      <c r="C19">
        <v>2</v>
      </c>
      <c r="D19" t="s">
        <v>92</v>
      </c>
      <c r="E19">
        <v>1800046787</v>
      </c>
      <c r="F19" t="s">
        <v>175</v>
      </c>
      <c r="G19" t="s">
        <v>174</v>
      </c>
      <c r="H19" t="s">
        <v>94</v>
      </c>
      <c r="I19" t="s">
        <v>95</v>
      </c>
      <c r="J19" t="s">
        <v>94</v>
      </c>
      <c r="K19" t="s">
        <v>95</v>
      </c>
      <c r="L19" t="s">
        <v>94</v>
      </c>
      <c r="M19" t="s">
        <v>94</v>
      </c>
      <c r="O19" t="s">
        <v>94</v>
      </c>
      <c r="Q19" t="s">
        <v>108</v>
      </c>
      <c r="R19" t="s">
        <v>94</v>
      </c>
      <c r="S19" t="s">
        <v>95</v>
      </c>
      <c r="T19" t="s">
        <v>94</v>
      </c>
      <c r="U19" t="s">
        <v>95</v>
      </c>
      <c r="V19" t="s">
        <v>94</v>
      </c>
      <c r="W19" t="s">
        <v>94</v>
      </c>
      <c r="X19" t="s">
        <v>95</v>
      </c>
      <c r="Y19" t="s">
        <v>95</v>
      </c>
      <c r="AG19">
        <v>4</v>
      </c>
      <c r="AH19" t="s">
        <v>138</v>
      </c>
      <c r="AI19" t="s">
        <v>138</v>
      </c>
      <c r="AJ19" t="s">
        <v>138</v>
      </c>
      <c r="AK19" t="s">
        <v>138</v>
      </c>
      <c r="AL19">
        <v>4</v>
      </c>
      <c r="AN19" t="s">
        <v>161</v>
      </c>
      <c r="AO19">
        <v>3</v>
      </c>
      <c r="AP19">
        <v>4</v>
      </c>
      <c r="AQ19">
        <v>3</v>
      </c>
      <c r="AR19" t="s">
        <v>126</v>
      </c>
      <c r="AS19">
        <v>4</v>
      </c>
      <c r="AT19">
        <v>3</v>
      </c>
      <c r="AU19">
        <v>3</v>
      </c>
      <c r="AV19">
        <v>4</v>
      </c>
      <c r="AW19">
        <v>4</v>
      </c>
      <c r="AX19">
        <v>4</v>
      </c>
      <c r="AY19">
        <v>4</v>
      </c>
      <c r="AZ19" t="s">
        <v>102</v>
      </c>
      <c r="BA19">
        <v>4</v>
      </c>
      <c r="BB19">
        <v>4</v>
      </c>
      <c r="BC19">
        <v>3</v>
      </c>
      <c r="BD19">
        <v>3</v>
      </c>
      <c r="BE19">
        <v>4</v>
      </c>
      <c r="BF19">
        <v>4</v>
      </c>
      <c r="BG19">
        <v>4</v>
      </c>
      <c r="BH19" t="s">
        <v>102</v>
      </c>
      <c r="BI19">
        <v>3</v>
      </c>
      <c r="BJ19">
        <v>3</v>
      </c>
      <c r="BK19">
        <v>3</v>
      </c>
      <c r="BL19">
        <v>4</v>
      </c>
      <c r="BM19" t="s">
        <v>103</v>
      </c>
      <c r="BN19" t="s">
        <v>103</v>
      </c>
      <c r="BO19" t="s">
        <v>103</v>
      </c>
      <c r="BP19" t="s">
        <v>103</v>
      </c>
      <c r="BQ19" t="s">
        <v>103</v>
      </c>
      <c r="BR19" t="s">
        <v>103</v>
      </c>
      <c r="BS19" t="s">
        <v>103</v>
      </c>
      <c r="BU19">
        <v>260.56</v>
      </c>
      <c r="BV19">
        <v>116.58</v>
      </c>
      <c r="CI19">
        <v>143.97999999999999</v>
      </c>
    </row>
    <row r="20" spans="1:87" x14ac:dyDescent="0.35">
      <c r="A20">
        <v>152</v>
      </c>
      <c r="B20" t="s">
        <v>176</v>
      </c>
      <c r="C20">
        <v>2</v>
      </c>
      <c r="D20" t="s">
        <v>92</v>
      </c>
      <c r="E20">
        <v>464455324</v>
      </c>
      <c r="F20" t="s">
        <v>177</v>
      </c>
      <c r="G20" t="s">
        <v>176</v>
      </c>
      <c r="H20" t="s">
        <v>94</v>
      </c>
      <c r="I20" t="s">
        <v>95</v>
      </c>
      <c r="J20" t="s">
        <v>95</v>
      </c>
      <c r="K20" t="s">
        <v>95</v>
      </c>
      <c r="L20" t="s">
        <v>95</v>
      </c>
      <c r="M20" t="s">
        <v>94</v>
      </c>
      <c r="O20" t="s">
        <v>94</v>
      </c>
      <c r="Q20" t="s">
        <v>108</v>
      </c>
      <c r="R20" t="s">
        <v>95</v>
      </c>
      <c r="S20" t="s">
        <v>95</v>
      </c>
      <c r="T20" t="s">
        <v>95</v>
      </c>
      <c r="U20" t="s">
        <v>95</v>
      </c>
      <c r="V20" t="s">
        <v>94</v>
      </c>
      <c r="W20" t="s">
        <v>94</v>
      </c>
      <c r="X20" t="s">
        <v>95</v>
      </c>
      <c r="Y20" t="s">
        <v>95</v>
      </c>
      <c r="AG20">
        <v>2</v>
      </c>
      <c r="AH20" t="s">
        <v>138</v>
      </c>
      <c r="AI20" t="s">
        <v>138</v>
      </c>
      <c r="AJ20" t="s">
        <v>138</v>
      </c>
      <c r="AK20" t="s">
        <v>138</v>
      </c>
      <c r="AL20">
        <v>3</v>
      </c>
      <c r="AM20" t="s">
        <v>178</v>
      </c>
      <c r="AN20" t="s">
        <v>140</v>
      </c>
      <c r="AO20">
        <v>2</v>
      </c>
      <c r="AP20">
        <v>3</v>
      </c>
      <c r="AQ20">
        <v>4</v>
      </c>
      <c r="AR20" t="s">
        <v>126</v>
      </c>
      <c r="AS20">
        <v>4</v>
      </c>
      <c r="AT20">
        <v>4</v>
      </c>
      <c r="AU20">
        <v>3</v>
      </c>
      <c r="AV20">
        <v>3</v>
      </c>
      <c r="AW20">
        <v>4</v>
      </c>
      <c r="AX20">
        <v>4</v>
      </c>
      <c r="AY20">
        <v>4</v>
      </c>
      <c r="AZ20">
        <v>3</v>
      </c>
      <c r="BA20">
        <v>3</v>
      </c>
      <c r="BB20">
        <v>4</v>
      </c>
      <c r="BC20">
        <v>2</v>
      </c>
      <c r="BD20">
        <v>2</v>
      </c>
      <c r="BE20">
        <v>4</v>
      </c>
      <c r="BF20" t="s">
        <v>102</v>
      </c>
      <c r="BG20">
        <v>3</v>
      </c>
      <c r="BH20" t="s">
        <v>102</v>
      </c>
      <c r="BI20">
        <v>3</v>
      </c>
      <c r="BJ20" t="s">
        <v>102</v>
      </c>
      <c r="BK20">
        <v>4</v>
      </c>
      <c r="BL20">
        <v>3</v>
      </c>
      <c r="BM20">
        <v>3</v>
      </c>
      <c r="BN20">
        <v>4</v>
      </c>
      <c r="BO20" t="s">
        <v>157</v>
      </c>
      <c r="BP20">
        <v>2</v>
      </c>
      <c r="BQ20">
        <v>4</v>
      </c>
      <c r="BR20">
        <v>2</v>
      </c>
      <c r="BS20">
        <v>3</v>
      </c>
      <c r="BU20">
        <v>1469.32</v>
      </c>
      <c r="BV20">
        <v>317.43</v>
      </c>
      <c r="CI20">
        <v>1151.8900000000001</v>
      </c>
    </row>
    <row r="21" spans="1:87" x14ac:dyDescent="0.35">
      <c r="A21">
        <v>153</v>
      </c>
      <c r="B21" t="s">
        <v>179</v>
      </c>
      <c r="C21">
        <v>2</v>
      </c>
      <c r="D21" t="s">
        <v>92</v>
      </c>
      <c r="E21">
        <v>1413614671</v>
      </c>
      <c r="F21" t="s">
        <v>180</v>
      </c>
      <c r="G21" t="s">
        <v>179</v>
      </c>
      <c r="H21" t="s">
        <v>94</v>
      </c>
      <c r="I21" t="s">
        <v>95</v>
      </c>
      <c r="J21" t="s">
        <v>95</v>
      </c>
      <c r="K21" t="s">
        <v>95</v>
      </c>
      <c r="L21" t="s">
        <v>94</v>
      </c>
      <c r="M21" t="s">
        <v>94</v>
      </c>
      <c r="O21" t="s">
        <v>94</v>
      </c>
      <c r="Q21" t="s">
        <v>98</v>
      </c>
      <c r="R21" t="s">
        <v>95</v>
      </c>
      <c r="S21" t="s">
        <v>94</v>
      </c>
      <c r="T21" t="s">
        <v>95</v>
      </c>
      <c r="U21" t="s">
        <v>95</v>
      </c>
      <c r="V21" t="s">
        <v>95</v>
      </c>
      <c r="W21" t="s">
        <v>94</v>
      </c>
      <c r="X21" t="s">
        <v>95</v>
      </c>
      <c r="Y21" t="s">
        <v>95</v>
      </c>
      <c r="AG21">
        <v>2</v>
      </c>
      <c r="AH21" t="s">
        <v>138</v>
      </c>
      <c r="AI21" t="s">
        <v>138</v>
      </c>
      <c r="AJ21" t="s">
        <v>138</v>
      </c>
      <c r="AK21" t="s">
        <v>138</v>
      </c>
      <c r="AL21" t="s">
        <v>138</v>
      </c>
      <c r="AM21" t="s">
        <v>181</v>
      </c>
      <c r="AN21" t="s">
        <v>140</v>
      </c>
      <c r="AO21" t="s">
        <v>101</v>
      </c>
      <c r="AP21">
        <v>2</v>
      </c>
      <c r="AQ21">
        <v>4</v>
      </c>
      <c r="AR21" t="s">
        <v>126</v>
      </c>
      <c r="AS21">
        <v>4</v>
      </c>
      <c r="AT21" t="s">
        <v>102</v>
      </c>
      <c r="AU21">
        <v>4</v>
      </c>
      <c r="AV21">
        <v>3</v>
      </c>
      <c r="AW21">
        <v>3</v>
      </c>
      <c r="AX21">
        <v>3</v>
      </c>
      <c r="AY21">
        <v>4</v>
      </c>
      <c r="AZ21">
        <v>3</v>
      </c>
      <c r="BA21">
        <v>3</v>
      </c>
      <c r="BB21">
        <v>3</v>
      </c>
      <c r="BC21">
        <v>2</v>
      </c>
      <c r="BD21" t="s">
        <v>111</v>
      </c>
      <c r="BE21" t="s">
        <v>102</v>
      </c>
      <c r="BF21" t="s">
        <v>102</v>
      </c>
      <c r="BG21">
        <v>2</v>
      </c>
      <c r="BH21" t="s">
        <v>111</v>
      </c>
      <c r="BI21">
        <v>3</v>
      </c>
      <c r="BJ21">
        <v>4</v>
      </c>
      <c r="BK21">
        <v>3</v>
      </c>
      <c r="BL21">
        <v>4</v>
      </c>
      <c r="BM21" t="s">
        <v>103</v>
      </c>
      <c r="BN21">
        <v>4</v>
      </c>
      <c r="BO21">
        <v>3</v>
      </c>
      <c r="BP21">
        <v>4</v>
      </c>
      <c r="BQ21">
        <v>3</v>
      </c>
      <c r="BR21">
        <v>4</v>
      </c>
      <c r="BS21">
        <v>4</v>
      </c>
      <c r="BT21" t="s">
        <v>182</v>
      </c>
      <c r="BU21">
        <v>1631.76</v>
      </c>
      <c r="BV21">
        <v>396.8</v>
      </c>
      <c r="CI21">
        <v>1234.96</v>
      </c>
    </row>
    <row r="22" spans="1:87" x14ac:dyDescent="0.35">
      <c r="A22">
        <v>154</v>
      </c>
      <c r="B22" t="s">
        <v>183</v>
      </c>
      <c r="C22">
        <v>2</v>
      </c>
      <c r="D22" t="s">
        <v>92</v>
      </c>
      <c r="E22">
        <v>351668837</v>
      </c>
      <c r="F22" t="s">
        <v>184</v>
      </c>
      <c r="G22" t="s">
        <v>183</v>
      </c>
      <c r="H22" t="s">
        <v>94</v>
      </c>
      <c r="I22" t="s">
        <v>95</v>
      </c>
      <c r="J22" t="s">
        <v>95</v>
      </c>
      <c r="K22" t="s">
        <v>95</v>
      </c>
      <c r="L22" t="s">
        <v>94</v>
      </c>
      <c r="M22" t="s">
        <v>94</v>
      </c>
      <c r="O22" t="s">
        <v>94</v>
      </c>
      <c r="Q22" t="s">
        <v>108</v>
      </c>
      <c r="R22" t="s">
        <v>137</v>
      </c>
      <c r="S22" t="s">
        <v>94</v>
      </c>
      <c r="T22" t="s">
        <v>94</v>
      </c>
      <c r="U22" t="s">
        <v>95</v>
      </c>
      <c r="V22" t="s">
        <v>95</v>
      </c>
      <c r="W22" t="s">
        <v>94</v>
      </c>
      <c r="X22" t="s">
        <v>95</v>
      </c>
      <c r="Y22" t="s">
        <v>95</v>
      </c>
      <c r="AG22">
        <v>4</v>
      </c>
      <c r="AH22" t="s">
        <v>138</v>
      </c>
      <c r="AI22" t="s">
        <v>138</v>
      </c>
      <c r="AJ22" t="s">
        <v>138</v>
      </c>
      <c r="AK22" t="s">
        <v>138</v>
      </c>
      <c r="AL22">
        <v>4</v>
      </c>
      <c r="AM22" t="s">
        <v>185</v>
      </c>
      <c r="AN22" t="s">
        <v>140</v>
      </c>
      <c r="AO22">
        <v>2</v>
      </c>
      <c r="AP22">
        <v>3</v>
      </c>
      <c r="AQ22">
        <v>4</v>
      </c>
      <c r="AR22">
        <v>4</v>
      </c>
      <c r="AS22">
        <v>4</v>
      </c>
      <c r="AT22">
        <v>4</v>
      </c>
      <c r="AU22">
        <v>2</v>
      </c>
      <c r="AV22" t="s">
        <v>111</v>
      </c>
      <c r="AW22" t="s">
        <v>102</v>
      </c>
      <c r="AX22" t="s">
        <v>102</v>
      </c>
      <c r="AY22" t="s">
        <v>102</v>
      </c>
      <c r="AZ22" t="s">
        <v>102</v>
      </c>
      <c r="BA22">
        <v>3</v>
      </c>
      <c r="BB22">
        <v>3</v>
      </c>
      <c r="BC22">
        <v>4</v>
      </c>
      <c r="BD22" t="s">
        <v>102</v>
      </c>
      <c r="BE22">
        <v>4</v>
      </c>
      <c r="BF22">
        <v>4</v>
      </c>
      <c r="BG22">
        <v>4</v>
      </c>
      <c r="BH22">
        <v>2</v>
      </c>
      <c r="BI22" t="s">
        <v>102</v>
      </c>
      <c r="BJ22">
        <v>4</v>
      </c>
      <c r="BK22">
        <v>4</v>
      </c>
      <c r="BL22">
        <v>3</v>
      </c>
      <c r="BM22">
        <v>4</v>
      </c>
      <c r="BN22">
        <v>3</v>
      </c>
      <c r="BO22">
        <v>3</v>
      </c>
      <c r="BP22" t="s">
        <v>103</v>
      </c>
      <c r="BQ22">
        <v>4</v>
      </c>
      <c r="BR22" t="s">
        <v>103</v>
      </c>
      <c r="BS22" t="s">
        <v>103</v>
      </c>
      <c r="BT22" t="s">
        <v>186</v>
      </c>
      <c r="BU22">
        <v>612.45000000000005</v>
      </c>
      <c r="BV22">
        <v>274.43</v>
      </c>
      <c r="CI22">
        <v>338.02</v>
      </c>
    </row>
    <row r="23" spans="1:87" x14ac:dyDescent="0.35">
      <c r="A23">
        <v>155</v>
      </c>
      <c r="B23" t="s">
        <v>187</v>
      </c>
      <c r="C23">
        <v>2</v>
      </c>
      <c r="D23" t="s">
        <v>92</v>
      </c>
      <c r="E23">
        <v>1647109563</v>
      </c>
      <c r="F23" t="s">
        <v>188</v>
      </c>
      <c r="G23" t="s">
        <v>187</v>
      </c>
      <c r="H23" t="s">
        <v>94</v>
      </c>
      <c r="I23" t="s">
        <v>95</v>
      </c>
      <c r="J23" t="s">
        <v>95</v>
      </c>
      <c r="K23" t="s">
        <v>95</v>
      </c>
      <c r="L23" t="s">
        <v>95</v>
      </c>
      <c r="M23" t="s">
        <v>94</v>
      </c>
      <c r="O23" t="s">
        <v>95</v>
      </c>
      <c r="P23" t="s">
        <v>189</v>
      </c>
      <c r="Q23" t="s">
        <v>98</v>
      </c>
      <c r="S23" t="s">
        <v>95</v>
      </c>
      <c r="T23" t="s">
        <v>95</v>
      </c>
      <c r="U23" t="s">
        <v>95</v>
      </c>
      <c r="V23" t="s">
        <v>95</v>
      </c>
      <c r="W23" t="s">
        <v>94</v>
      </c>
      <c r="X23" t="s">
        <v>95</v>
      </c>
      <c r="Y23" t="s">
        <v>95</v>
      </c>
      <c r="AN23" t="s">
        <v>100</v>
      </c>
      <c r="AO23" t="s">
        <v>101</v>
      </c>
      <c r="AP23">
        <v>2</v>
      </c>
      <c r="AQ23">
        <v>2</v>
      </c>
      <c r="AR23">
        <v>2</v>
      </c>
      <c r="AS23">
        <v>4</v>
      </c>
      <c r="AT23" t="s">
        <v>102</v>
      </c>
      <c r="AU23" t="s">
        <v>111</v>
      </c>
      <c r="AV23" t="s">
        <v>111</v>
      </c>
      <c r="AW23" t="s">
        <v>111</v>
      </c>
      <c r="AX23" t="s">
        <v>111</v>
      </c>
      <c r="AY23">
        <v>3</v>
      </c>
      <c r="AZ23">
        <v>2</v>
      </c>
      <c r="BA23" t="s">
        <v>111</v>
      </c>
      <c r="BB23" t="s">
        <v>111</v>
      </c>
      <c r="BC23" t="s">
        <v>102</v>
      </c>
      <c r="BD23">
        <v>4</v>
      </c>
      <c r="BE23" t="s">
        <v>111</v>
      </c>
      <c r="BF23" t="s">
        <v>111</v>
      </c>
      <c r="BG23" t="s">
        <v>111</v>
      </c>
      <c r="BH23" t="s">
        <v>111</v>
      </c>
      <c r="BI23" t="s">
        <v>111</v>
      </c>
      <c r="BJ23" t="s">
        <v>111</v>
      </c>
      <c r="BK23" t="s">
        <v>111</v>
      </c>
      <c r="BL23" t="s">
        <v>111</v>
      </c>
      <c r="BM23">
        <v>4</v>
      </c>
      <c r="BN23" t="s">
        <v>103</v>
      </c>
      <c r="BO23" t="s">
        <v>103</v>
      </c>
      <c r="BP23" t="s">
        <v>103</v>
      </c>
      <c r="BQ23" t="s">
        <v>103</v>
      </c>
      <c r="BR23" t="s">
        <v>103</v>
      </c>
      <c r="BS23">
        <v>3</v>
      </c>
      <c r="BT23" t="s">
        <v>190</v>
      </c>
      <c r="BU23">
        <v>1207.25</v>
      </c>
      <c r="BV23">
        <v>63.27</v>
      </c>
      <c r="CI23">
        <v>1143.98</v>
      </c>
    </row>
    <row r="24" spans="1:87" x14ac:dyDescent="0.35">
      <c r="A24">
        <v>156</v>
      </c>
      <c r="B24" t="s">
        <v>191</v>
      </c>
      <c r="C24">
        <v>2</v>
      </c>
      <c r="D24" t="s">
        <v>92</v>
      </c>
      <c r="E24">
        <v>374710651</v>
      </c>
      <c r="F24" t="s">
        <v>192</v>
      </c>
      <c r="G24" t="s">
        <v>191</v>
      </c>
      <c r="H24" t="s">
        <v>94</v>
      </c>
      <c r="I24" t="s">
        <v>94</v>
      </c>
      <c r="J24" t="s">
        <v>94</v>
      </c>
      <c r="K24" t="s">
        <v>94</v>
      </c>
      <c r="L24" t="s">
        <v>94</v>
      </c>
      <c r="M24" t="s">
        <v>94</v>
      </c>
      <c r="O24" t="s">
        <v>94</v>
      </c>
      <c r="Q24" t="s">
        <v>108</v>
      </c>
      <c r="R24" t="s">
        <v>137</v>
      </c>
      <c r="S24" t="s">
        <v>94</v>
      </c>
      <c r="T24" t="s">
        <v>94</v>
      </c>
      <c r="U24" t="s">
        <v>95</v>
      </c>
      <c r="V24" t="s">
        <v>95</v>
      </c>
      <c r="W24" t="s">
        <v>94</v>
      </c>
      <c r="X24" t="s">
        <v>95</v>
      </c>
      <c r="Y24" t="s">
        <v>95</v>
      </c>
      <c r="AG24">
        <v>3</v>
      </c>
      <c r="AH24" t="s">
        <v>138</v>
      </c>
      <c r="AI24" t="s">
        <v>138</v>
      </c>
      <c r="AJ24" t="s">
        <v>138</v>
      </c>
      <c r="AK24" t="s">
        <v>138</v>
      </c>
      <c r="AL24">
        <v>3</v>
      </c>
      <c r="AM24" t="s">
        <v>193</v>
      </c>
      <c r="AN24" t="s">
        <v>161</v>
      </c>
      <c r="AO24">
        <v>4</v>
      </c>
      <c r="AP24">
        <v>2</v>
      </c>
      <c r="AQ24">
        <v>4</v>
      </c>
      <c r="AR24">
        <v>4</v>
      </c>
      <c r="AS24">
        <v>4</v>
      </c>
      <c r="AT24">
        <v>4</v>
      </c>
      <c r="AU24">
        <v>2</v>
      </c>
      <c r="AV24" t="s">
        <v>111</v>
      </c>
      <c r="AW24">
        <v>3</v>
      </c>
      <c r="AX24">
        <v>3</v>
      </c>
      <c r="AY24">
        <v>2</v>
      </c>
      <c r="AZ24" t="s">
        <v>111</v>
      </c>
      <c r="BA24">
        <v>4</v>
      </c>
      <c r="BB24">
        <v>2</v>
      </c>
      <c r="BC24">
        <v>3</v>
      </c>
      <c r="BD24">
        <v>3</v>
      </c>
      <c r="BE24" t="s">
        <v>111</v>
      </c>
      <c r="BF24">
        <v>3</v>
      </c>
      <c r="BG24">
        <v>2</v>
      </c>
      <c r="BH24">
        <v>3</v>
      </c>
      <c r="BI24">
        <v>3</v>
      </c>
      <c r="BJ24">
        <v>4</v>
      </c>
      <c r="BK24">
        <v>2</v>
      </c>
      <c r="BL24">
        <v>2</v>
      </c>
      <c r="BM24">
        <v>3</v>
      </c>
      <c r="BN24">
        <v>3</v>
      </c>
      <c r="BO24">
        <v>4</v>
      </c>
      <c r="BP24" t="s">
        <v>103</v>
      </c>
      <c r="BQ24">
        <v>3</v>
      </c>
      <c r="BR24">
        <v>3</v>
      </c>
      <c r="BS24">
        <v>4</v>
      </c>
      <c r="BT24" t="s">
        <v>194</v>
      </c>
      <c r="BU24">
        <v>378.22</v>
      </c>
      <c r="BV24">
        <v>97.12</v>
      </c>
      <c r="CI24">
        <v>281.10000000000002</v>
      </c>
    </row>
    <row r="25" spans="1:87" x14ac:dyDescent="0.35">
      <c r="A25">
        <v>157</v>
      </c>
      <c r="B25" t="s">
        <v>195</v>
      </c>
      <c r="C25">
        <v>2</v>
      </c>
      <c r="D25" t="s">
        <v>92</v>
      </c>
      <c r="E25">
        <v>1551261297</v>
      </c>
      <c r="F25" t="s">
        <v>196</v>
      </c>
      <c r="G25" t="s">
        <v>195</v>
      </c>
      <c r="H25" t="s">
        <v>94</v>
      </c>
      <c r="I25" t="s">
        <v>95</v>
      </c>
      <c r="J25" t="s">
        <v>94</v>
      </c>
      <c r="K25" t="s">
        <v>95</v>
      </c>
      <c r="L25" t="s">
        <v>95</v>
      </c>
      <c r="M25" t="s">
        <v>95</v>
      </c>
      <c r="O25" t="s">
        <v>95</v>
      </c>
      <c r="P25" t="s">
        <v>197</v>
      </c>
      <c r="Q25" t="s">
        <v>108</v>
      </c>
      <c r="S25" t="s">
        <v>95</v>
      </c>
      <c r="T25" t="s">
        <v>95</v>
      </c>
      <c r="U25" t="s">
        <v>95</v>
      </c>
      <c r="V25" t="s">
        <v>95</v>
      </c>
      <c r="W25" t="s">
        <v>94</v>
      </c>
      <c r="X25" t="s">
        <v>94</v>
      </c>
      <c r="Y25" t="s">
        <v>95</v>
      </c>
      <c r="AN25" t="s">
        <v>140</v>
      </c>
      <c r="AO25">
        <v>3</v>
      </c>
      <c r="AP25">
        <v>3</v>
      </c>
      <c r="AQ25">
        <v>4</v>
      </c>
      <c r="AR25">
        <v>4</v>
      </c>
      <c r="AS25" t="s">
        <v>102</v>
      </c>
      <c r="AT25">
        <v>4</v>
      </c>
      <c r="AU25">
        <v>2</v>
      </c>
      <c r="AV25">
        <v>2</v>
      </c>
      <c r="AW25">
        <v>2</v>
      </c>
      <c r="AX25" t="s">
        <v>111</v>
      </c>
      <c r="AY25">
        <v>3</v>
      </c>
      <c r="AZ25">
        <v>4</v>
      </c>
      <c r="BA25">
        <v>4</v>
      </c>
      <c r="BB25">
        <v>3</v>
      </c>
      <c r="BC25">
        <v>4</v>
      </c>
      <c r="BD25">
        <v>4</v>
      </c>
      <c r="BE25">
        <v>2</v>
      </c>
      <c r="BF25" t="s">
        <v>102</v>
      </c>
      <c r="BG25">
        <v>3</v>
      </c>
      <c r="BH25">
        <v>4</v>
      </c>
      <c r="BI25">
        <v>4</v>
      </c>
      <c r="BJ25">
        <v>2</v>
      </c>
      <c r="BK25">
        <v>2</v>
      </c>
      <c r="BL25">
        <v>3</v>
      </c>
      <c r="BM25" t="s">
        <v>103</v>
      </c>
      <c r="BN25" t="s">
        <v>103</v>
      </c>
      <c r="BO25">
        <v>4</v>
      </c>
      <c r="BP25">
        <v>3</v>
      </c>
      <c r="BQ25">
        <v>3</v>
      </c>
      <c r="BR25">
        <v>3</v>
      </c>
      <c r="BS25">
        <v>3</v>
      </c>
      <c r="BU25">
        <v>10709.6</v>
      </c>
      <c r="BV25">
        <v>10608.5</v>
      </c>
      <c r="CI25">
        <v>101.12</v>
      </c>
    </row>
    <row r="26" spans="1:87" x14ac:dyDescent="0.35">
      <c r="A26">
        <v>158</v>
      </c>
      <c r="B26" t="s">
        <v>198</v>
      </c>
      <c r="C26">
        <v>2</v>
      </c>
      <c r="D26" t="s">
        <v>92</v>
      </c>
      <c r="E26">
        <v>2087092294</v>
      </c>
      <c r="F26" t="s">
        <v>199</v>
      </c>
      <c r="G26" t="s">
        <v>198</v>
      </c>
      <c r="H26" t="s">
        <v>95</v>
      </c>
      <c r="I26" t="s">
        <v>95</v>
      </c>
      <c r="J26" t="s">
        <v>94</v>
      </c>
      <c r="K26" t="s">
        <v>95</v>
      </c>
      <c r="L26" t="s">
        <v>95</v>
      </c>
      <c r="M26" t="s">
        <v>94</v>
      </c>
      <c r="O26" t="s">
        <v>94</v>
      </c>
      <c r="Q26" t="s">
        <v>108</v>
      </c>
      <c r="R26" t="s">
        <v>137</v>
      </c>
      <c r="S26" t="s">
        <v>94</v>
      </c>
      <c r="T26" t="s">
        <v>94</v>
      </c>
      <c r="U26" t="s">
        <v>95</v>
      </c>
      <c r="V26" t="s">
        <v>95</v>
      </c>
      <c r="W26" t="s">
        <v>94</v>
      </c>
      <c r="X26" t="s">
        <v>94</v>
      </c>
      <c r="Y26" t="s">
        <v>94</v>
      </c>
      <c r="AG26">
        <v>4</v>
      </c>
      <c r="AH26" t="s">
        <v>138</v>
      </c>
      <c r="AI26" t="s">
        <v>138</v>
      </c>
      <c r="AJ26" t="s">
        <v>138</v>
      </c>
      <c r="AK26" t="s">
        <v>138</v>
      </c>
      <c r="AL26" t="s">
        <v>139</v>
      </c>
      <c r="AN26" t="s">
        <v>140</v>
      </c>
      <c r="AO26">
        <v>3</v>
      </c>
      <c r="AP26">
        <v>4</v>
      </c>
      <c r="AQ26" t="s">
        <v>126</v>
      </c>
      <c r="AR26" t="s">
        <v>126</v>
      </c>
      <c r="AS26">
        <v>4</v>
      </c>
      <c r="AT26">
        <v>3</v>
      </c>
      <c r="AU26">
        <v>3</v>
      </c>
      <c r="AV26">
        <v>3</v>
      </c>
      <c r="AW26">
        <v>3</v>
      </c>
      <c r="AX26">
        <v>3</v>
      </c>
      <c r="AY26">
        <v>3</v>
      </c>
      <c r="AZ26">
        <v>3</v>
      </c>
      <c r="BA26">
        <v>3</v>
      </c>
      <c r="BB26">
        <v>3</v>
      </c>
      <c r="BC26">
        <v>4</v>
      </c>
      <c r="BD26">
        <v>4</v>
      </c>
      <c r="BE26">
        <v>4</v>
      </c>
      <c r="BF26">
        <v>2</v>
      </c>
      <c r="BG26">
        <v>3</v>
      </c>
      <c r="BH26">
        <v>3</v>
      </c>
      <c r="BI26">
        <v>3</v>
      </c>
      <c r="BJ26">
        <v>3</v>
      </c>
      <c r="BK26">
        <v>3</v>
      </c>
      <c r="BL26">
        <v>3</v>
      </c>
      <c r="BM26">
        <v>4</v>
      </c>
      <c r="BN26">
        <v>4</v>
      </c>
      <c r="BO26">
        <v>4</v>
      </c>
      <c r="BP26">
        <v>4</v>
      </c>
      <c r="BQ26">
        <v>4</v>
      </c>
      <c r="BR26">
        <v>4</v>
      </c>
      <c r="BS26">
        <v>4</v>
      </c>
      <c r="BU26">
        <v>326.18</v>
      </c>
      <c r="BV26">
        <v>125.69</v>
      </c>
      <c r="CI26">
        <v>200.49</v>
      </c>
    </row>
    <row r="27" spans="1:87" x14ac:dyDescent="0.35">
      <c r="A27">
        <v>159</v>
      </c>
      <c r="B27" t="s">
        <v>200</v>
      </c>
      <c r="C27">
        <v>2</v>
      </c>
      <c r="D27" t="s">
        <v>92</v>
      </c>
      <c r="E27">
        <v>1941110044</v>
      </c>
      <c r="F27" t="s">
        <v>201</v>
      </c>
      <c r="G27" t="s">
        <v>200</v>
      </c>
      <c r="H27" t="s">
        <v>94</v>
      </c>
      <c r="I27" t="s">
        <v>95</v>
      </c>
      <c r="J27" t="s">
        <v>95</v>
      </c>
      <c r="K27" t="s">
        <v>95</v>
      </c>
      <c r="L27" t="s">
        <v>95</v>
      </c>
      <c r="M27" t="s">
        <v>95</v>
      </c>
      <c r="O27" t="s">
        <v>94</v>
      </c>
      <c r="Q27" t="s">
        <v>108</v>
      </c>
      <c r="R27" t="s">
        <v>95</v>
      </c>
      <c r="S27" t="s">
        <v>94</v>
      </c>
      <c r="T27" t="s">
        <v>94</v>
      </c>
      <c r="U27" t="s">
        <v>95</v>
      </c>
      <c r="V27" t="s">
        <v>95</v>
      </c>
      <c r="W27" t="s">
        <v>94</v>
      </c>
      <c r="X27" t="s">
        <v>95</v>
      </c>
      <c r="Y27" t="s">
        <v>94</v>
      </c>
      <c r="AG27" t="s">
        <v>160</v>
      </c>
      <c r="AH27" t="s">
        <v>138</v>
      </c>
      <c r="AI27" t="s">
        <v>138</v>
      </c>
      <c r="AJ27" t="s">
        <v>138</v>
      </c>
      <c r="AK27" t="s">
        <v>138</v>
      </c>
      <c r="AL27" t="s">
        <v>160</v>
      </c>
      <c r="AM27" t="s">
        <v>202</v>
      </c>
      <c r="AN27" t="s">
        <v>161</v>
      </c>
      <c r="AO27">
        <v>4</v>
      </c>
      <c r="AP27" t="s">
        <v>101</v>
      </c>
      <c r="AQ27">
        <v>3</v>
      </c>
      <c r="AR27" t="s">
        <v>126</v>
      </c>
      <c r="AS27">
        <v>4</v>
      </c>
      <c r="AT27" t="s">
        <v>102</v>
      </c>
      <c r="AU27">
        <v>3</v>
      </c>
      <c r="AV27" t="s">
        <v>111</v>
      </c>
      <c r="AW27">
        <v>4</v>
      </c>
      <c r="AX27" t="s">
        <v>111</v>
      </c>
      <c r="AY27">
        <v>2</v>
      </c>
      <c r="AZ27">
        <v>2</v>
      </c>
      <c r="BA27">
        <v>4</v>
      </c>
      <c r="BB27">
        <v>2</v>
      </c>
      <c r="BC27">
        <v>4</v>
      </c>
      <c r="BD27" t="s">
        <v>102</v>
      </c>
      <c r="BE27" t="s">
        <v>102</v>
      </c>
      <c r="BF27" t="s">
        <v>102</v>
      </c>
      <c r="BG27">
        <v>4</v>
      </c>
      <c r="BH27" t="s">
        <v>102</v>
      </c>
      <c r="BI27" t="s">
        <v>102</v>
      </c>
      <c r="BJ27">
        <v>3</v>
      </c>
      <c r="BK27" t="s">
        <v>111</v>
      </c>
      <c r="BL27" t="s">
        <v>111</v>
      </c>
      <c r="BM27" t="s">
        <v>157</v>
      </c>
      <c r="BN27" t="s">
        <v>103</v>
      </c>
      <c r="BO27" t="s">
        <v>103</v>
      </c>
      <c r="BP27">
        <v>3</v>
      </c>
      <c r="BQ27">
        <v>3</v>
      </c>
      <c r="BR27" t="s">
        <v>103</v>
      </c>
      <c r="BS27" t="s">
        <v>103</v>
      </c>
      <c r="BT27" t="s">
        <v>203</v>
      </c>
      <c r="BU27">
        <v>327.57</v>
      </c>
      <c r="BV27">
        <v>113.91</v>
      </c>
      <c r="CI27">
        <v>213.66</v>
      </c>
    </row>
    <row r="28" spans="1:87" x14ac:dyDescent="0.35">
      <c r="A28">
        <v>160</v>
      </c>
      <c r="B28" t="s">
        <v>204</v>
      </c>
      <c r="C28">
        <v>2</v>
      </c>
      <c r="D28" t="s">
        <v>92</v>
      </c>
      <c r="E28">
        <v>738506643</v>
      </c>
      <c r="F28" t="s">
        <v>205</v>
      </c>
      <c r="G28" t="s">
        <v>204</v>
      </c>
      <c r="H28" t="s">
        <v>94</v>
      </c>
      <c r="I28" t="s">
        <v>95</v>
      </c>
      <c r="J28" t="s">
        <v>95</v>
      </c>
      <c r="K28" t="s">
        <v>95</v>
      </c>
      <c r="L28" t="s">
        <v>94</v>
      </c>
      <c r="M28" t="s">
        <v>94</v>
      </c>
      <c r="O28" t="s">
        <v>94</v>
      </c>
      <c r="Q28" t="s">
        <v>98</v>
      </c>
      <c r="R28" t="s">
        <v>137</v>
      </c>
      <c r="S28" t="s">
        <v>94</v>
      </c>
      <c r="T28" t="s">
        <v>94</v>
      </c>
      <c r="U28" t="s">
        <v>94</v>
      </c>
      <c r="V28" t="s">
        <v>95</v>
      </c>
      <c r="W28" t="s">
        <v>95</v>
      </c>
      <c r="X28" t="s">
        <v>94</v>
      </c>
      <c r="Y28" t="s">
        <v>95</v>
      </c>
      <c r="AG28" t="s">
        <v>139</v>
      </c>
      <c r="AH28" t="s">
        <v>138</v>
      </c>
      <c r="AI28" t="s">
        <v>138</v>
      </c>
      <c r="AJ28" t="s">
        <v>138</v>
      </c>
      <c r="AK28" t="s">
        <v>138</v>
      </c>
      <c r="AL28" t="s">
        <v>138</v>
      </c>
      <c r="AN28" t="s">
        <v>161</v>
      </c>
      <c r="AO28">
        <v>3</v>
      </c>
      <c r="AP28" t="s">
        <v>126</v>
      </c>
      <c r="AQ28">
        <v>4</v>
      </c>
      <c r="AR28" t="s">
        <v>126</v>
      </c>
      <c r="AS28">
        <v>3</v>
      </c>
      <c r="AT28" t="s">
        <v>111</v>
      </c>
      <c r="AU28">
        <v>3</v>
      </c>
      <c r="AV28" t="s">
        <v>111</v>
      </c>
      <c r="AW28">
        <v>3</v>
      </c>
      <c r="AX28" t="s">
        <v>111</v>
      </c>
      <c r="AY28">
        <v>3</v>
      </c>
      <c r="AZ28">
        <v>3</v>
      </c>
      <c r="BA28">
        <v>2</v>
      </c>
      <c r="BB28" t="s">
        <v>111</v>
      </c>
      <c r="BC28">
        <v>3</v>
      </c>
      <c r="BD28" t="s">
        <v>102</v>
      </c>
      <c r="BE28">
        <v>3</v>
      </c>
      <c r="BF28" t="s">
        <v>102</v>
      </c>
      <c r="BG28">
        <v>3</v>
      </c>
      <c r="BH28" t="s">
        <v>102</v>
      </c>
      <c r="BI28">
        <v>3</v>
      </c>
      <c r="BJ28">
        <v>4</v>
      </c>
      <c r="BK28">
        <v>3</v>
      </c>
      <c r="BL28" t="s">
        <v>102</v>
      </c>
      <c r="BM28">
        <v>4</v>
      </c>
      <c r="BN28">
        <v>4</v>
      </c>
      <c r="BO28" t="s">
        <v>103</v>
      </c>
      <c r="BP28" t="s">
        <v>103</v>
      </c>
      <c r="BQ28" t="s">
        <v>103</v>
      </c>
      <c r="BR28" t="s">
        <v>103</v>
      </c>
      <c r="BS28" t="s">
        <v>103</v>
      </c>
      <c r="BU28">
        <v>362.13</v>
      </c>
      <c r="BV28">
        <v>184.37</v>
      </c>
      <c r="CI28">
        <v>177.76</v>
      </c>
    </row>
    <row r="29" spans="1:87" x14ac:dyDescent="0.35">
      <c r="A29">
        <v>161</v>
      </c>
      <c r="B29" t="s">
        <v>206</v>
      </c>
      <c r="C29">
        <v>2</v>
      </c>
      <c r="D29" t="s">
        <v>92</v>
      </c>
      <c r="E29">
        <v>533750148</v>
      </c>
      <c r="F29" t="s">
        <v>207</v>
      </c>
      <c r="G29" t="s">
        <v>206</v>
      </c>
      <c r="H29" t="s">
        <v>95</v>
      </c>
      <c r="I29" t="s">
        <v>95</v>
      </c>
      <c r="J29" t="s">
        <v>94</v>
      </c>
      <c r="K29" t="s">
        <v>95</v>
      </c>
      <c r="L29" t="s">
        <v>94</v>
      </c>
      <c r="M29" t="s">
        <v>95</v>
      </c>
      <c r="O29" t="s">
        <v>94</v>
      </c>
      <c r="Q29" t="s">
        <v>98</v>
      </c>
      <c r="R29" t="s">
        <v>95</v>
      </c>
      <c r="S29" t="s">
        <v>95</v>
      </c>
      <c r="T29" t="s">
        <v>95</v>
      </c>
      <c r="U29" t="s">
        <v>95</v>
      </c>
      <c r="V29" t="s">
        <v>95</v>
      </c>
      <c r="W29" t="s">
        <v>94</v>
      </c>
      <c r="X29" t="s">
        <v>95</v>
      </c>
      <c r="Y29" t="s">
        <v>95</v>
      </c>
      <c r="AG29">
        <v>4</v>
      </c>
      <c r="AH29" t="s">
        <v>138</v>
      </c>
      <c r="AI29" t="s">
        <v>138</v>
      </c>
      <c r="AJ29" t="s">
        <v>138</v>
      </c>
      <c r="AK29" t="s">
        <v>138</v>
      </c>
      <c r="AL29" t="s">
        <v>138</v>
      </c>
      <c r="AM29" t="s">
        <v>208</v>
      </c>
      <c r="AN29" t="s">
        <v>161</v>
      </c>
      <c r="AO29">
        <v>4</v>
      </c>
      <c r="AP29">
        <v>4</v>
      </c>
      <c r="AQ29" t="s">
        <v>126</v>
      </c>
      <c r="AR29" t="s">
        <v>126</v>
      </c>
      <c r="AS29">
        <v>3</v>
      </c>
      <c r="AT29">
        <v>3</v>
      </c>
      <c r="AU29">
        <v>2</v>
      </c>
      <c r="AV29">
        <v>2</v>
      </c>
      <c r="AW29">
        <v>3</v>
      </c>
      <c r="AX29">
        <v>3</v>
      </c>
      <c r="AY29" t="s">
        <v>111</v>
      </c>
      <c r="AZ29" t="s">
        <v>111</v>
      </c>
      <c r="BA29">
        <v>4</v>
      </c>
      <c r="BB29">
        <v>4</v>
      </c>
      <c r="BC29">
        <v>2</v>
      </c>
      <c r="BD29">
        <v>3</v>
      </c>
      <c r="BE29">
        <v>3</v>
      </c>
      <c r="BF29">
        <v>3</v>
      </c>
      <c r="BG29">
        <v>3</v>
      </c>
      <c r="BH29">
        <v>3</v>
      </c>
      <c r="BI29" t="s">
        <v>111</v>
      </c>
      <c r="BJ29" t="s">
        <v>111</v>
      </c>
      <c r="BK29">
        <v>2</v>
      </c>
      <c r="BL29">
        <v>2</v>
      </c>
      <c r="BM29" t="s">
        <v>103</v>
      </c>
      <c r="BN29" t="s">
        <v>103</v>
      </c>
      <c r="BO29" t="s">
        <v>103</v>
      </c>
      <c r="BP29" t="s">
        <v>103</v>
      </c>
      <c r="BQ29" t="s">
        <v>103</v>
      </c>
      <c r="BR29" t="s">
        <v>103</v>
      </c>
      <c r="BS29" t="s">
        <v>103</v>
      </c>
      <c r="BT29" t="s">
        <v>209</v>
      </c>
      <c r="BU29">
        <v>245.91</v>
      </c>
      <c r="BV29">
        <v>111.67</v>
      </c>
      <c r="CI29">
        <v>134.24</v>
      </c>
    </row>
    <row r="30" spans="1:87" x14ac:dyDescent="0.35">
      <c r="A30">
        <v>162</v>
      </c>
      <c r="B30" t="s">
        <v>210</v>
      </c>
      <c r="C30">
        <v>2</v>
      </c>
      <c r="D30" t="s">
        <v>92</v>
      </c>
      <c r="E30">
        <v>95725899</v>
      </c>
      <c r="F30" t="s">
        <v>211</v>
      </c>
      <c r="G30" t="s">
        <v>210</v>
      </c>
      <c r="H30" t="s">
        <v>95</v>
      </c>
      <c r="I30" t="s">
        <v>95</v>
      </c>
      <c r="J30" t="s">
        <v>94</v>
      </c>
      <c r="K30" t="s">
        <v>95</v>
      </c>
      <c r="L30" t="s">
        <v>95</v>
      </c>
      <c r="M30" t="s">
        <v>94</v>
      </c>
      <c r="O30" t="s">
        <v>95</v>
      </c>
      <c r="P30" t="s">
        <v>212</v>
      </c>
      <c r="Q30" t="s">
        <v>108</v>
      </c>
      <c r="S30" t="s">
        <v>94</v>
      </c>
      <c r="T30" t="s">
        <v>94</v>
      </c>
      <c r="U30" t="s">
        <v>95</v>
      </c>
      <c r="V30" t="s">
        <v>95</v>
      </c>
      <c r="W30" t="s">
        <v>94</v>
      </c>
      <c r="X30" t="s">
        <v>94</v>
      </c>
      <c r="Y30" t="s">
        <v>95</v>
      </c>
      <c r="AM30" t="s">
        <v>213</v>
      </c>
      <c r="AN30" t="s">
        <v>100</v>
      </c>
      <c r="AO30" t="s">
        <v>101</v>
      </c>
      <c r="AP30">
        <v>2</v>
      </c>
      <c r="AQ30">
        <v>4</v>
      </c>
      <c r="AR30">
        <v>4</v>
      </c>
      <c r="AS30">
        <v>4</v>
      </c>
      <c r="AT30" t="s">
        <v>102</v>
      </c>
      <c r="AU30">
        <v>4</v>
      </c>
      <c r="AV30">
        <v>4</v>
      </c>
      <c r="AW30">
        <v>4</v>
      </c>
      <c r="AX30" t="s">
        <v>102</v>
      </c>
      <c r="AY30">
        <v>3</v>
      </c>
      <c r="AZ30" t="s">
        <v>111</v>
      </c>
      <c r="BA30">
        <v>3</v>
      </c>
      <c r="BB30" t="s">
        <v>102</v>
      </c>
      <c r="BC30">
        <v>4</v>
      </c>
      <c r="BD30" t="s">
        <v>102</v>
      </c>
      <c r="BE30" t="s">
        <v>102</v>
      </c>
      <c r="BF30" t="s">
        <v>102</v>
      </c>
      <c r="BG30">
        <v>3</v>
      </c>
      <c r="BH30" t="s">
        <v>111</v>
      </c>
      <c r="BI30">
        <v>4</v>
      </c>
      <c r="BJ30" t="s">
        <v>102</v>
      </c>
      <c r="BK30">
        <v>2</v>
      </c>
      <c r="BL30">
        <v>2</v>
      </c>
      <c r="BM30" t="s">
        <v>103</v>
      </c>
      <c r="BN30">
        <v>4</v>
      </c>
      <c r="BO30">
        <v>4</v>
      </c>
      <c r="BP30" t="s">
        <v>103</v>
      </c>
      <c r="BQ30" t="s">
        <v>103</v>
      </c>
      <c r="BR30" t="s">
        <v>103</v>
      </c>
      <c r="BS30" t="s">
        <v>103</v>
      </c>
      <c r="BU30">
        <v>311.63</v>
      </c>
      <c r="BV30">
        <v>148.71</v>
      </c>
      <c r="CI30">
        <v>162.91999999999999</v>
      </c>
    </row>
    <row r="31" spans="1:87" x14ac:dyDescent="0.35">
      <c r="A31">
        <v>163</v>
      </c>
      <c r="B31" t="s">
        <v>214</v>
      </c>
      <c r="C31">
        <v>2</v>
      </c>
      <c r="D31" t="s">
        <v>92</v>
      </c>
      <c r="E31">
        <v>726765092</v>
      </c>
      <c r="F31" t="s">
        <v>215</v>
      </c>
      <c r="G31" t="s">
        <v>214</v>
      </c>
      <c r="H31" t="s">
        <v>95</v>
      </c>
      <c r="I31" t="s">
        <v>95</v>
      </c>
      <c r="J31" t="s">
        <v>95</v>
      </c>
      <c r="K31" t="s">
        <v>95</v>
      </c>
      <c r="L31" t="s">
        <v>95</v>
      </c>
      <c r="M31" t="s">
        <v>94</v>
      </c>
      <c r="O31" t="s">
        <v>94</v>
      </c>
      <c r="Q31" t="s">
        <v>150</v>
      </c>
      <c r="R31" t="s">
        <v>137</v>
      </c>
      <c r="S31" t="s">
        <v>95</v>
      </c>
      <c r="T31" t="s">
        <v>94</v>
      </c>
      <c r="U31" t="s">
        <v>95</v>
      </c>
      <c r="V31" t="s">
        <v>95</v>
      </c>
      <c r="W31" t="s">
        <v>94</v>
      </c>
      <c r="X31" t="s">
        <v>95</v>
      </c>
      <c r="Y31" t="s">
        <v>95</v>
      </c>
      <c r="Z31" t="s">
        <v>115</v>
      </c>
      <c r="AG31">
        <v>4</v>
      </c>
      <c r="AH31" t="s">
        <v>138</v>
      </c>
      <c r="AI31" t="s">
        <v>138</v>
      </c>
      <c r="AJ31" t="s">
        <v>138</v>
      </c>
      <c r="AK31" t="s">
        <v>138</v>
      </c>
      <c r="AL31" t="s">
        <v>139</v>
      </c>
      <c r="AM31" t="s">
        <v>216</v>
      </c>
      <c r="AN31" t="s">
        <v>100</v>
      </c>
      <c r="AO31">
        <v>2</v>
      </c>
      <c r="AP31">
        <v>3</v>
      </c>
      <c r="AQ31">
        <v>4</v>
      </c>
      <c r="AR31">
        <v>3</v>
      </c>
      <c r="AS31">
        <v>3</v>
      </c>
      <c r="AT31">
        <v>2</v>
      </c>
      <c r="AU31">
        <v>3</v>
      </c>
      <c r="AV31">
        <v>2</v>
      </c>
      <c r="AW31" t="s">
        <v>102</v>
      </c>
      <c r="AX31">
        <v>4</v>
      </c>
      <c r="AY31">
        <v>3</v>
      </c>
      <c r="AZ31" t="s">
        <v>102</v>
      </c>
      <c r="BA31">
        <v>4</v>
      </c>
      <c r="BB31">
        <v>2</v>
      </c>
      <c r="BC31">
        <v>3</v>
      </c>
      <c r="BD31">
        <v>3</v>
      </c>
      <c r="BE31" t="s">
        <v>102</v>
      </c>
      <c r="BF31">
        <v>3</v>
      </c>
      <c r="BG31">
        <v>2</v>
      </c>
      <c r="BH31" t="s">
        <v>111</v>
      </c>
      <c r="BI31" t="s">
        <v>102</v>
      </c>
      <c r="BJ31">
        <v>4</v>
      </c>
      <c r="BK31">
        <v>2</v>
      </c>
      <c r="BL31">
        <v>4</v>
      </c>
      <c r="BM31">
        <v>4</v>
      </c>
      <c r="BN31">
        <v>4</v>
      </c>
      <c r="BO31">
        <v>3</v>
      </c>
      <c r="BP31" t="s">
        <v>103</v>
      </c>
      <c r="BQ31" t="s">
        <v>103</v>
      </c>
      <c r="BR31">
        <v>4</v>
      </c>
      <c r="BS31">
        <v>3</v>
      </c>
      <c r="BT31" t="s">
        <v>217</v>
      </c>
      <c r="BU31">
        <v>903.47</v>
      </c>
      <c r="BV31">
        <v>407.03</v>
      </c>
      <c r="CI31">
        <v>496.44</v>
      </c>
    </row>
    <row r="32" spans="1:87" x14ac:dyDescent="0.35">
      <c r="A32">
        <v>165</v>
      </c>
      <c r="B32" t="s">
        <v>218</v>
      </c>
      <c r="C32">
        <v>2</v>
      </c>
      <c r="D32" t="s">
        <v>92</v>
      </c>
      <c r="E32">
        <v>675927422</v>
      </c>
      <c r="F32" t="s">
        <v>219</v>
      </c>
      <c r="G32" t="s">
        <v>218</v>
      </c>
      <c r="H32" t="s">
        <v>95</v>
      </c>
      <c r="I32" t="s">
        <v>95</v>
      </c>
      <c r="J32" t="s">
        <v>95</v>
      </c>
      <c r="K32" t="s">
        <v>95</v>
      </c>
      <c r="L32" t="s">
        <v>94</v>
      </c>
      <c r="M32" t="s">
        <v>94</v>
      </c>
      <c r="O32" t="s">
        <v>95</v>
      </c>
      <c r="P32" t="s">
        <v>220</v>
      </c>
      <c r="Q32" t="s">
        <v>164</v>
      </c>
      <c r="S32" t="s">
        <v>94</v>
      </c>
      <c r="T32" t="s">
        <v>94</v>
      </c>
      <c r="U32" t="s">
        <v>95</v>
      </c>
      <c r="V32" t="s">
        <v>94</v>
      </c>
      <c r="W32" t="s">
        <v>94</v>
      </c>
      <c r="X32" t="s">
        <v>94</v>
      </c>
      <c r="Y32" t="s">
        <v>95</v>
      </c>
      <c r="AM32" t="s">
        <v>221</v>
      </c>
      <c r="AN32" t="s">
        <v>100</v>
      </c>
      <c r="AO32">
        <v>4</v>
      </c>
      <c r="AP32">
        <v>3</v>
      </c>
      <c r="AQ32">
        <v>4</v>
      </c>
      <c r="AR32" t="s">
        <v>126</v>
      </c>
      <c r="AS32">
        <v>3</v>
      </c>
      <c r="AT32">
        <v>4</v>
      </c>
      <c r="AU32">
        <v>2</v>
      </c>
      <c r="AV32">
        <v>3</v>
      </c>
      <c r="AW32">
        <v>3</v>
      </c>
      <c r="AX32" t="s">
        <v>111</v>
      </c>
      <c r="AY32">
        <v>2</v>
      </c>
      <c r="AZ32">
        <v>2</v>
      </c>
      <c r="BA32">
        <v>3</v>
      </c>
      <c r="BB32">
        <v>4</v>
      </c>
      <c r="BC32">
        <v>3</v>
      </c>
      <c r="BD32" t="s">
        <v>102</v>
      </c>
      <c r="BE32" t="s">
        <v>102</v>
      </c>
      <c r="BF32">
        <v>3</v>
      </c>
      <c r="BG32">
        <v>4</v>
      </c>
      <c r="BH32">
        <v>3</v>
      </c>
      <c r="BI32" t="s">
        <v>102</v>
      </c>
      <c r="BJ32" t="s">
        <v>102</v>
      </c>
      <c r="BK32">
        <v>3</v>
      </c>
      <c r="BL32">
        <v>4</v>
      </c>
      <c r="BM32">
        <v>4</v>
      </c>
      <c r="BN32">
        <v>2</v>
      </c>
      <c r="BO32">
        <v>4</v>
      </c>
      <c r="BP32" t="s">
        <v>157</v>
      </c>
      <c r="BQ32">
        <v>2</v>
      </c>
      <c r="BR32">
        <v>4</v>
      </c>
      <c r="BS32" t="s">
        <v>157</v>
      </c>
      <c r="BT32" t="s">
        <v>222</v>
      </c>
      <c r="BU32">
        <v>275.02999999999997</v>
      </c>
      <c r="BV32">
        <v>132.69</v>
      </c>
      <c r="CI32">
        <v>142.34</v>
      </c>
    </row>
    <row r="33" spans="1:87" x14ac:dyDescent="0.35">
      <c r="A33">
        <v>166</v>
      </c>
      <c r="B33" t="s">
        <v>223</v>
      </c>
      <c r="C33">
        <v>2</v>
      </c>
      <c r="D33" t="s">
        <v>92</v>
      </c>
      <c r="E33">
        <v>574380795</v>
      </c>
      <c r="F33" t="s">
        <v>224</v>
      </c>
      <c r="G33" t="s">
        <v>223</v>
      </c>
      <c r="H33" t="s">
        <v>95</v>
      </c>
      <c r="I33" t="s">
        <v>95</v>
      </c>
      <c r="J33" t="s">
        <v>95</v>
      </c>
      <c r="K33" t="s">
        <v>95</v>
      </c>
      <c r="L33" t="s">
        <v>95</v>
      </c>
      <c r="M33" t="s">
        <v>94</v>
      </c>
      <c r="O33" t="s">
        <v>95</v>
      </c>
      <c r="P33" t="s">
        <v>225</v>
      </c>
      <c r="Q33" t="s">
        <v>108</v>
      </c>
      <c r="S33" t="s">
        <v>94</v>
      </c>
      <c r="T33" t="s">
        <v>94</v>
      </c>
      <c r="U33" t="s">
        <v>95</v>
      </c>
      <c r="V33" t="s">
        <v>95</v>
      </c>
      <c r="W33" t="s">
        <v>95</v>
      </c>
      <c r="X33" t="s">
        <v>95</v>
      </c>
      <c r="Y33" t="s">
        <v>95</v>
      </c>
      <c r="AN33" t="s">
        <v>140</v>
      </c>
      <c r="AO33" t="s">
        <v>101</v>
      </c>
      <c r="AP33">
        <v>2</v>
      </c>
      <c r="AQ33">
        <v>4</v>
      </c>
      <c r="AR33">
        <v>2</v>
      </c>
      <c r="AS33" t="s">
        <v>102</v>
      </c>
      <c r="AT33">
        <v>3</v>
      </c>
      <c r="AU33">
        <v>2</v>
      </c>
      <c r="AV33" t="s">
        <v>111</v>
      </c>
      <c r="AW33">
        <v>4</v>
      </c>
      <c r="AX33">
        <v>4</v>
      </c>
      <c r="AY33">
        <v>3</v>
      </c>
      <c r="AZ33">
        <v>3</v>
      </c>
      <c r="BA33">
        <v>4</v>
      </c>
      <c r="BB33">
        <v>4</v>
      </c>
      <c r="BC33">
        <v>4</v>
      </c>
      <c r="BD33">
        <v>2</v>
      </c>
      <c r="BE33" t="s">
        <v>102</v>
      </c>
      <c r="BF33">
        <v>2</v>
      </c>
      <c r="BG33">
        <v>3</v>
      </c>
      <c r="BH33">
        <v>2</v>
      </c>
      <c r="BI33" t="s">
        <v>102</v>
      </c>
      <c r="BJ33" t="s">
        <v>102</v>
      </c>
      <c r="BK33">
        <v>3</v>
      </c>
      <c r="BL33">
        <v>3</v>
      </c>
      <c r="BM33">
        <v>4</v>
      </c>
      <c r="BN33">
        <v>4</v>
      </c>
      <c r="BO33">
        <v>3</v>
      </c>
      <c r="BP33">
        <v>3</v>
      </c>
      <c r="BQ33">
        <v>3</v>
      </c>
      <c r="BR33" t="s">
        <v>103</v>
      </c>
      <c r="BS33" t="s">
        <v>103</v>
      </c>
      <c r="BT33" t="s">
        <v>226</v>
      </c>
      <c r="BU33">
        <v>2154.39</v>
      </c>
      <c r="BV33">
        <v>139.47999999999999</v>
      </c>
      <c r="CI33">
        <v>2014.91</v>
      </c>
    </row>
    <row r="34" spans="1:87" x14ac:dyDescent="0.35">
      <c r="A34">
        <v>167</v>
      </c>
      <c r="B34" t="s">
        <v>227</v>
      </c>
      <c r="C34">
        <v>2</v>
      </c>
      <c r="D34" t="s">
        <v>92</v>
      </c>
      <c r="E34">
        <v>1581937538</v>
      </c>
      <c r="F34" t="s">
        <v>228</v>
      </c>
      <c r="G34" t="s">
        <v>227</v>
      </c>
      <c r="H34" t="s">
        <v>95</v>
      </c>
      <c r="I34" t="s">
        <v>95</v>
      </c>
      <c r="J34" t="s">
        <v>95</v>
      </c>
      <c r="K34" t="s">
        <v>95</v>
      </c>
      <c r="L34" t="s">
        <v>95</v>
      </c>
      <c r="M34" t="s">
        <v>95</v>
      </c>
      <c r="N34" t="s">
        <v>229</v>
      </c>
      <c r="O34" t="s">
        <v>95</v>
      </c>
      <c r="P34" t="s">
        <v>230</v>
      </c>
      <c r="Q34" t="s">
        <v>150</v>
      </c>
      <c r="S34" t="s">
        <v>94</v>
      </c>
      <c r="T34" t="s">
        <v>95</v>
      </c>
      <c r="U34" t="s">
        <v>95</v>
      </c>
      <c r="V34" t="s">
        <v>94</v>
      </c>
      <c r="W34" t="s">
        <v>94</v>
      </c>
      <c r="X34" t="s">
        <v>94</v>
      </c>
      <c r="Y34" t="s">
        <v>94</v>
      </c>
      <c r="AM34" t="s">
        <v>231</v>
      </c>
      <c r="AN34" t="s">
        <v>140</v>
      </c>
      <c r="AO34" t="s">
        <v>101</v>
      </c>
      <c r="AP34">
        <v>3</v>
      </c>
      <c r="AQ34">
        <v>4</v>
      </c>
      <c r="AR34">
        <v>4</v>
      </c>
      <c r="AS34">
        <v>3</v>
      </c>
      <c r="AT34">
        <v>3</v>
      </c>
      <c r="AU34">
        <v>3</v>
      </c>
      <c r="AV34">
        <v>2</v>
      </c>
      <c r="AW34">
        <v>3</v>
      </c>
      <c r="AX34">
        <v>3</v>
      </c>
      <c r="AY34">
        <v>2</v>
      </c>
      <c r="AZ34">
        <v>2</v>
      </c>
      <c r="BA34">
        <v>3</v>
      </c>
      <c r="BB34">
        <v>3</v>
      </c>
      <c r="BC34">
        <v>3</v>
      </c>
      <c r="BD34">
        <v>3</v>
      </c>
      <c r="BE34">
        <v>4</v>
      </c>
      <c r="BF34">
        <v>4</v>
      </c>
      <c r="BG34">
        <v>3</v>
      </c>
      <c r="BH34">
        <v>3</v>
      </c>
      <c r="BI34">
        <v>4</v>
      </c>
      <c r="BJ34">
        <v>4</v>
      </c>
      <c r="BK34">
        <v>3</v>
      </c>
      <c r="BL34">
        <v>3</v>
      </c>
      <c r="BM34">
        <v>4</v>
      </c>
      <c r="BN34">
        <v>4</v>
      </c>
      <c r="BO34" t="s">
        <v>103</v>
      </c>
      <c r="BP34" t="s">
        <v>103</v>
      </c>
      <c r="BQ34">
        <v>2</v>
      </c>
      <c r="BR34">
        <v>4</v>
      </c>
      <c r="BS34">
        <v>3</v>
      </c>
      <c r="BU34">
        <v>382.29</v>
      </c>
      <c r="BV34">
        <v>209.54</v>
      </c>
      <c r="CI34">
        <v>172.75</v>
      </c>
    </row>
    <row r="35" spans="1:87" x14ac:dyDescent="0.35">
      <c r="A35">
        <v>168</v>
      </c>
      <c r="B35" t="s">
        <v>232</v>
      </c>
      <c r="C35">
        <v>2</v>
      </c>
      <c r="D35" t="s">
        <v>92</v>
      </c>
      <c r="E35">
        <v>1389993365</v>
      </c>
      <c r="F35" t="s">
        <v>233</v>
      </c>
      <c r="G35" t="s">
        <v>232</v>
      </c>
      <c r="H35" t="s">
        <v>94</v>
      </c>
      <c r="I35" t="s">
        <v>95</v>
      </c>
      <c r="J35" t="s">
        <v>95</v>
      </c>
      <c r="K35" t="s">
        <v>95</v>
      </c>
      <c r="L35" t="s">
        <v>95</v>
      </c>
      <c r="M35" t="s">
        <v>95</v>
      </c>
      <c r="O35" t="s">
        <v>95</v>
      </c>
      <c r="P35" t="s">
        <v>234</v>
      </c>
      <c r="Q35" t="s">
        <v>108</v>
      </c>
      <c r="S35" t="s">
        <v>94</v>
      </c>
      <c r="T35" t="s">
        <v>94</v>
      </c>
      <c r="U35" t="s">
        <v>95</v>
      </c>
      <c r="V35" t="s">
        <v>94</v>
      </c>
      <c r="W35" t="s">
        <v>95</v>
      </c>
      <c r="X35" t="s">
        <v>94</v>
      </c>
      <c r="Y35" t="s">
        <v>94</v>
      </c>
      <c r="AN35" t="s">
        <v>100</v>
      </c>
      <c r="AO35">
        <v>3</v>
      </c>
      <c r="AP35">
        <v>2</v>
      </c>
      <c r="AQ35">
        <v>2</v>
      </c>
      <c r="AR35">
        <v>4</v>
      </c>
      <c r="AS35" t="s">
        <v>102</v>
      </c>
      <c r="AT35" t="s">
        <v>102</v>
      </c>
      <c r="AU35">
        <v>2</v>
      </c>
      <c r="AV35">
        <v>2</v>
      </c>
      <c r="AW35">
        <v>3</v>
      </c>
      <c r="AX35">
        <v>3</v>
      </c>
      <c r="AY35">
        <v>2</v>
      </c>
      <c r="AZ35" t="s">
        <v>111</v>
      </c>
      <c r="BA35">
        <v>2</v>
      </c>
      <c r="BB35">
        <v>3</v>
      </c>
      <c r="BC35">
        <v>3</v>
      </c>
      <c r="BD35">
        <v>3</v>
      </c>
      <c r="BE35">
        <v>2</v>
      </c>
      <c r="BF35">
        <v>4</v>
      </c>
      <c r="BG35">
        <v>2</v>
      </c>
      <c r="BH35">
        <v>4</v>
      </c>
      <c r="BI35">
        <v>2</v>
      </c>
      <c r="BJ35">
        <v>4</v>
      </c>
      <c r="BK35">
        <v>3</v>
      </c>
      <c r="BL35">
        <v>4</v>
      </c>
      <c r="BM35">
        <v>4</v>
      </c>
      <c r="BN35">
        <v>4</v>
      </c>
      <c r="BO35">
        <v>4</v>
      </c>
      <c r="BP35">
        <v>3</v>
      </c>
      <c r="BQ35">
        <v>2</v>
      </c>
      <c r="BR35">
        <v>3</v>
      </c>
      <c r="BS35">
        <v>2</v>
      </c>
      <c r="BU35">
        <v>270.87</v>
      </c>
      <c r="BV35">
        <v>132.11000000000001</v>
      </c>
      <c r="CI35">
        <v>138.76</v>
      </c>
    </row>
    <row r="36" spans="1:87" x14ac:dyDescent="0.35">
      <c r="A36">
        <v>169</v>
      </c>
      <c r="B36" t="s">
        <v>235</v>
      </c>
      <c r="C36">
        <v>2</v>
      </c>
      <c r="D36" t="s">
        <v>92</v>
      </c>
      <c r="E36">
        <v>1362244573</v>
      </c>
      <c r="F36" t="s">
        <v>236</v>
      </c>
      <c r="G36" t="s">
        <v>235</v>
      </c>
      <c r="H36" t="s">
        <v>94</v>
      </c>
      <c r="I36" t="s">
        <v>95</v>
      </c>
      <c r="J36" t="s">
        <v>95</v>
      </c>
      <c r="K36" t="s">
        <v>95</v>
      </c>
      <c r="L36" t="s">
        <v>94</v>
      </c>
      <c r="M36" t="s">
        <v>94</v>
      </c>
      <c r="O36" t="s">
        <v>95</v>
      </c>
      <c r="P36" t="s">
        <v>237</v>
      </c>
      <c r="Q36" t="s">
        <v>98</v>
      </c>
      <c r="S36" t="s">
        <v>95</v>
      </c>
      <c r="T36" t="s">
        <v>94</v>
      </c>
      <c r="U36" t="s">
        <v>95</v>
      </c>
      <c r="V36" t="s">
        <v>95</v>
      </c>
      <c r="W36" t="s">
        <v>94</v>
      </c>
      <c r="X36" t="s">
        <v>94</v>
      </c>
      <c r="Y36" t="s">
        <v>95</v>
      </c>
      <c r="AN36" t="s">
        <v>100</v>
      </c>
      <c r="AO36" t="s">
        <v>101</v>
      </c>
      <c r="AP36">
        <v>2</v>
      </c>
      <c r="AQ36">
        <v>2</v>
      </c>
      <c r="AR36">
        <v>4</v>
      </c>
      <c r="AS36" t="s">
        <v>102</v>
      </c>
      <c r="AT36">
        <v>2</v>
      </c>
      <c r="AU36" t="s">
        <v>102</v>
      </c>
      <c r="AV36" t="s">
        <v>102</v>
      </c>
      <c r="AW36">
        <v>3</v>
      </c>
      <c r="AX36" t="s">
        <v>111</v>
      </c>
      <c r="AY36" t="s">
        <v>111</v>
      </c>
      <c r="AZ36" t="s">
        <v>111</v>
      </c>
      <c r="BA36">
        <v>3</v>
      </c>
      <c r="BB36">
        <v>3</v>
      </c>
      <c r="BC36" t="s">
        <v>102</v>
      </c>
      <c r="BD36" t="s">
        <v>102</v>
      </c>
      <c r="BE36" t="s">
        <v>102</v>
      </c>
      <c r="BF36" t="s">
        <v>102</v>
      </c>
      <c r="BG36" t="s">
        <v>102</v>
      </c>
      <c r="BH36">
        <v>4</v>
      </c>
      <c r="BI36" t="s">
        <v>102</v>
      </c>
      <c r="BJ36" t="s">
        <v>102</v>
      </c>
      <c r="BK36" t="s">
        <v>111</v>
      </c>
      <c r="BL36" t="s">
        <v>111</v>
      </c>
      <c r="BM36" t="s">
        <v>103</v>
      </c>
      <c r="BN36">
        <v>3</v>
      </c>
      <c r="BO36">
        <v>3</v>
      </c>
      <c r="BP36" t="s">
        <v>157</v>
      </c>
      <c r="BQ36" t="s">
        <v>157</v>
      </c>
      <c r="BR36" t="s">
        <v>157</v>
      </c>
      <c r="BS36">
        <v>3</v>
      </c>
      <c r="BT36" t="s">
        <v>238</v>
      </c>
      <c r="BU36">
        <v>536.54</v>
      </c>
      <c r="BV36">
        <v>127.44</v>
      </c>
      <c r="CI36">
        <v>409.1</v>
      </c>
    </row>
    <row r="37" spans="1:87" x14ac:dyDescent="0.35">
      <c r="A37">
        <v>170</v>
      </c>
      <c r="B37" t="s">
        <v>239</v>
      </c>
      <c r="C37">
        <v>2</v>
      </c>
      <c r="D37" t="s">
        <v>92</v>
      </c>
      <c r="E37">
        <v>754638071</v>
      </c>
      <c r="F37" t="s">
        <v>240</v>
      </c>
      <c r="G37" t="s">
        <v>239</v>
      </c>
      <c r="H37" t="s">
        <v>94</v>
      </c>
      <c r="I37" t="s">
        <v>95</v>
      </c>
      <c r="J37" t="s">
        <v>95</v>
      </c>
      <c r="K37" t="s">
        <v>95</v>
      </c>
      <c r="L37" t="s">
        <v>95</v>
      </c>
      <c r="M37" t="s">
        <v>95</v>
      </c>
      <c r="O37" t="s">
        <v>94</v>
      </c>
      <c r="Q37" t="s">
        <v>108</v>
      </c>
      <c r="R37" t="s">
        <v>137</v>
      </c>
      <c r="S37" t="s">
        <v>94</v>
      </c>
      <c r="T37" t="s">
        <v>95</v>
      </c>
      <c r="U37" t="s">
        <v>95</v>
      </c>
      <c r="V37" t="s">
        <v>95</v>
      </c>
      <c r="W37" t="s">
        <v>95</v>
      </c>
      <c r="X37" t="s">
        <v>95</v>
      </c>
      <c r="Y37" t="s">
        <v>95</v>
      </c>
      <c r="AG37">
        <v>3</v>
      </c>
      <c r="AH37" t="s">
        <v>138</v>
      </c>
      <c r="AI37" t="s">
        <v>138</v>
      </c>
      <c r="AJ37" t="s">
        <v>138</v>
      </c>
      <c r="AK37" t="s">
        <v>138</v>
      </c>
      <c r="AL37">
        <v>4</v>
      </c>
      <c r="AM37" t="s">
        <v>241</v>
      </c>
      <c r="AN37" t="s">
        <v>161</v>
      </c>
      <c r="AO37" t="s">
        <v>101</v>
      </c>
      <c r="AP37">
        <v>2</v>
      </c>
      <c r="AQ37">
        <v>3</v>
      </c>
      <c r="AR37" t="s">
        <v>126</v>
      </c>
      <c r="AS37" t="s">
        <v>102</v>
      </c>
      <c r="AT37" t="s">
        <v>102</v>
      </c>
      <c r="AU37">
        <v>4</v>
      </c>
      <c r="AV37">
        <v>2</v>
      </c>
      <c r="AW37">
        <v>3</v>
      </c>
      <c r="AX37" t="s">
        <v>111</v>
      </c>
      <c r="AY37" t="s">
        <v>102</v>
      </c>
      <c r="AZ37" t="s">
        <v>102</v>
      </c>
      <c r="BA37">
        <v>4</v>
      </c>
      <c r="BB37">
        <v>3</v>
      </c>
      <c r="BC37">
        <v>4</v>
      </c>
      <c r="BD37" t="s">
        <v>102</v>
      </c>
      <c r="BE37" t="s">
        <v>102</v>
      </c>
      <c r="BF37" t="s">
        <v>102</v>
      </c>
      <c r="BG37">
        <v>4</v>
      </c>
      <c r="BH37">
        <v>4</v>
      </c>
      <c r="BI37" t="s">
        <v>102</v>
      </c>
      <c r="BJ37" t="s">
        <v>102</v>
      </c>
      <c r="BK37">
        <v>3</v>
      </c>
      <c r="BL37">
        <v>3</v>
      </c>
      <c r="BM37" t="s">
        <v>103</v>
      </c>
      <c r="BN37" t="s">
        <v>103</v>
      </c>
      <c r="BO37" t="s">
        <v>103</v>
      </c>
      <c r="BP37" t="s">
        <v>103</v>
      </c>
      <c r="BQ37">
        <v>4</v>
      </c>
      <c r="BR37" t="s">
        <v>103</v>
      </c>
      <c r="BS37">
        <v>4</v>
      </c>
      <c r="BT37" t="s">
        <v>242</v>
      </c>
      <c r="BU37">
        <v>366.62</v>
      </c>
      <c r="BV37">
        <v>77.63</v>
      </c>
      <c r="CI37">
        <v>288.99</v>
      </c>
    </row>
    <row r="38" spans="1:87" x14ac:dyDescent="0.35">
      <c r="A38">
        <v>171</v>
      </c>
      <c r="B38" t="s">
        <v>243</v>
      </c>
      <c r="C38">
        <v>2</v>
      </c>
      <c r="D38" t="s">
        <v>92</v>
      </c>
      <c r="E38">
        <v>2039908808</v>
      </c>
      <c r="F38" t="s">
        <v>244</v>
      </c>
      <c r="G38" t="s">
        <v>243</v>
      </c>
      <c r="H38" t="s">
        <v>94</v>
      </c>
      <c r="I38" t="s">
        <v>95</v>
      </c>
      <c r="J38" t="s">
        <v>95</v>
      </c>
      <c r="K38" t="s">
        <v>95</v>
      </c>
      <c r="L38" t="s">
        <v>94</v>
      </c>
      <c r="M38" t="s">
        <v>94</v>
      </c>
      <c r="O38" t="s">
        <v>95</v>
      </c>
      <c r="P38" t="s">
        <v>245</v>
      </c>
      <c r="Q38" t="s">
        <v>150</v>
      </c>
      <c r="S38" t="s">
        <v>94</v>
      </c>
      <c r="T38" t="s">
        <v>95</v>
      </c>
      <c r="U38" t="s">
        <v>95</v>
      </c>
      <c r="V38" t="s">
        <v>95</v>
      </c>
      <c r="W38" t="s">
        <v>94</v>
      </c>
      <c r="X38" t="s">
        <v>95</v>
      </c>
      <c r="Y38" t="s">
        <v>95</v>
      </c>
      <c r="AN38" t="s">
        <v>161</v>
      </c>
      <c r="AO38" t="s">
        <v>101</v>
      </c>
      <c r="AP38">
        <v>2</v>
      </c>
      <c r="AQ38">
        <v>3</v>
      </c>
      <c r="AR38">
        <v>3</v>
      </c>
      <c r="AS38">
        <v>4</v>
      </c>
      <c r="AT38">
        <v>3</v>
      </c>
      <c r="AU38">
        <v>4</v>
      </c>
      <c r="AV38">
        <v>4</v>
      </c>
      <c r="AW38">
        <v>4</v>
      </c>
      <c r="AX38" t="s">
        <v>102</v>
      </c>
      <c r="AY38">
        <v>3</v>
      </c>
      <c r="AZ38">
        <v>4</v>
      </c>
      <c r="BA38">
        <v>4</v>
      </c>
      <c r="BB38" t="s">
        <v>102</v>
      </c>
      <c r="BC38">
        <v>3</v>
      </c>
      <c r="BD38">
        <v>2</v>
      </c>
      <c r="BE38">
        <v>4</v>
      </c>
      <c r="BF38" t="s">
        <v>102</v>
      </c>
      <c r="BG38">
        <v>3</v>
      </c>
      <c r="BH38">
        <v>4</v>
      </c>
      <c r="BI38">
        <v>3</v>
      </c>
      <c r="BJ38">
        <v>3</v>
      </c>
      <c r="BK38">
        <v>3</v>
      </c>
      <c r="BL38">
        <v>3</v>
      </c>
      <c r="BM38" t="s">
        <v>103</v>
      </c>
      <c r="BN38" t="s">
        <v>103</v>
      </c>
      <c r="BO38" t="s">
        <v>103</v>
      </c>
      <c r="BP38" t="s">
        <v>103</v>
      </c>
      <c r="BQ38">
        <v>3</v>
      </c>
      <c r="BR38" t="s">
        <v>103</v>
      </c>
      <c r="BS38">
        <v>3</v>
      </c>
      <c r="BU38">
        <v>219.14</v>
      </c>
      <c r="BV38">
        <v>92.83</v>
      </c>
      <c r="CI38">
        <v>126.31</v>
      </c>
    </row>
    <row r="39" spans="1:87" x14ac:dyDescent="0.35">
      <c r="A39">
        <v>172</v>
      </c>
      <c r="B39" t="s">
        <v>246</v>
      </c>
      <c r="C39">
        <v>2</v>
      </c>
      <c r="D39" t="s">
        <v>92</v>
      </c>
      <c r="E39">
        <v>2033450238</v>
      </c>
      <c r="F39" t="s">
        <v>247</v>
      </c>
      <c r="G39" t="s">
        <v>246</v>
      </c>
      <c r="H39" t="s">
        <v>94</v>
      </c>
      <c r="I39" t="s">
        <v>95</v>
      </c>
      <c r="J39" t="s">
        <v>95</v>
      </c>
      <c r="K39" t="s">
        <v>95</v>
      </c>
      <c r="L39" t="s">
        <v>95</v>
      </c>
      <c r="M39" t="s">
        <v>95</v>
      </c>
      <c r="O39" t="s">
        <v>94</v>
      </c>
      <c r="Q39" t="s">
        <v>98</v>
      </c>
      <c r="R39" t="s">
        <v>95</v>
      </c>
      <c r="S39" t="s">
        <v>94</v>
      </c>
      <c r="T39" t="s">
        <v>95</v>
      </c>
      <c r="U39" t="s">
        <v>95</v>
      </c>
      <c r="V39" t="s">
        <v>94</v>
      </c>
      <c r="W39" t="s">
        <v>94</v>
      </c>
      <c r="X39" t="s">
        <v>95</v>
      </c>
      <c r="Y39" t="s">
        <v>94</v>
      </c>
      <c r="AG39" t="s">
        <v>138</v>
      </c>
      <c r="AH39" t="s">
        <v>138</v>
      </c>
      <c r="AI39" t="s">
        <v>138</v>
      </c>
      <c r="AJ39" t="s">
        <v>138</v>
      </c>
      <c r="AK39" t="s">
        <v>138</v>
      </c>
      <c r="AL39" t="s">
        <v>138</v>
      </c>
      <c r="AN39" t="s">
        <v>161</v>
      </c>
      <c r="AO39" t="s">
        <v>101</v>
      </c>
      <c r="AP39">
        <v>2</v>
      </c>
      <c r="AQ39">
        <v>3</v>
      </c>
      <c r="AR39">
        <v>4</v>
      </c>
      <c r="AS39">
        <v>3</v>
      </c>
      <c r="AT39">
        <v>4</v>
      </c>
      <c r="AU39">
        <v>2</v>
      </c>
      <c r="AV39">
        <v>3</v>
      </c>
      <c r="AW39">
        <v>4</v>
      </c>
      <c r="AX39">
        <v>4</v>
      </c>
      <c r="AY39">
        <v>4</v>
      </c>
      <c r="AZ39" t="s">
        <v>102</v>
      </c>
      <c r="BA39">
        <v>3</v>
      </c>
      <c r="BB39">
        <v>4</v>
      </c>
      <c r="BC39">
        <v>3</v>
      </c>
      <c r="BD39">
        <v>3</v>
      </c>
      <c r="BE39" t="s">
        <v>102</v>
      </c>
      <c r="BF39">
        <v>3</v>
      </c>
      <c r="BG39">
        <v>3</v>
      </c>
      <c r="BH39">
        <v>3</v>
      </c>
      <c r="BI39">
        <v>4</v>
      </c>
      <c r="BJ39">
        <v>3</v>
      </c>
      <c r="BK39">
        <v>3</v>
      </c>
      <c r="BL39">
        <v>2</v>
      </c>
      <c r="BM39">
        <v>4</v>
      </c>
      <c r="BN39">
        <v>4</v>
      </c>
      <c r="BO39" t="s">
        <v>103</v>
      </c>
      <c r="BP39">
        <v>4</v>
      </c>
      <c r="BQ39">
        <v>3</v>
      </c>
      <c r="BR39">
        <v>4</v>
      </c>
      <c r="BS39">
        <v>4</v>
      </c>
      <c r="BU39">
        <v>229.76</v>
      </c>
      <c r="BV39">
        <v>89.9</v>
      </c>
      <c r="CI39">
        <v>139.86000000000001</v>
      </c>
    </row>
    <row r="40" spans="1:87" x14ac:dyDescent="0.35">
      <c r="A40">
        <v>175</v>
      </c>
      <c r="B40" t="s">
        <v>248</v>
      </c>
      <c r="C40">
        <v>2</v>
      </c>
      <c r="D40" t="s">
        <v>92</v>
      </c>
      <c r="E40">
        <v>863218625</v>
      </c>
      <c r="F40" t="s">
        <v>249</v>
      </c>
      <c r="G40" t="s">
        <v>248</v>
      </c>
      <c r="H40" t="s">
        <v>94</v>
      </c>
      <c r="I40" t="s">
        <v>95</v>
      </c>
      <c r="J40" t="s">
        <v>95</v>
      </c>
      <c r="K40" t="s">
        <v>95</v>
      </c>
      <c r="L40" t="s">
        <v>95</v>
      </c>
      <c r="M40" t="s">
        <v>95</v>
      </c>
      <c r="O40" t="s">
        <v>94</v>
      </c>
      <c r="Q40" t="s">
        <v>150</v>
      </c>
      <c r="R40" t="s">
        <v>94</v>
      </c>
      <c r="S40" t="s">
        <v>95</v>
      </c>
      <c r="T40" t="s">
        <v>94</v>
      </c>
      <c r="U40" t="s">
        <v>95</v>
      </c>
      <c r="V40" t="s">
        <v>95</v>
      </c>
      <c r="W40" t="s">
        <v>95</v>
      </c>
      <c r="X40" t="s">
        <v>95</v>
      </c>
      <c r="Y40" t="s">
        <v>95</v>
      </c>
      <c r="AG40" t="s">
        <v>139</v>
      </c>
      <c r="AH40" t="s">
        <v>138</v>
      </c>
      <c r="AI40" t="s">
        <v>138</v>
      </c>
      <c r="AJ40" t="s">
        <v>138</v>
      </c>
      <c r="AK40" t="s">
        <v>138</v>
      </c>
      <c r="AL40" t="s">
        <v>139</v>
      </c>
      <c r="AM40" t="s">
        <v>250</v>
      </c>
      <c r="AN40" t="s">
        <v>140</v>
      </c>
      <c r="AO40">
        <v>3</v>
      </c>
      <c r="AP40">
        <v>4</v>
      </c>
      <c r="AQ40" t="s">
        <v>126</v>
      </c>
      <c r="AR40" t="s">
        <v>126</v>
      </c>
      <c r="AS40">
        <v>4</v>
      </c>
      <c r="AT40">
        <v>3</v>
      </c>
      <c r="AU40">
        <v>4</v>
      </c>
      <c r="AV40">
        <v>3</v>
      </c>
      <c r="AW40">
        <v>4</v>
      </c>
      <c r="AX40" t="s">
        <v>102</v>
      </c>
      <c r="AY40" t="s">
        <v>102</v>
      </c>
      <c r="AZ40" t="s">
        <v>102</v>
      </c>
      <c r="BA40">
        <v>4</v>
      </c>
      <c r="BB40">
        <v>4</v>
      </c>
      <c r="BC40" t="s">
        <v>102</v>
      </c>
      <c r="BD40" t="s">
        <v>102</v>
      </c>
      <c r="BE40">
        <v>3</v>
      </c>
      <c r="BF40">
        <v>4</v>
      </c>
      <c r="BG40">
        <v>4</v>
      </c>
      <c r="BH40">
        <v>2</v>
      </c>
      <c r="BI40">
        <v>3</v>
      </c>
      <c r="BJ40">
        <v>3</v>
      </c>
      <c r="BK40" t="s">
        <v>102</v>
      </c>
      <c r="BL40" t="s">
        <v>102</v>
      </c>
      <c r="BM40">
        <v>4</v>
      </c>
      <c r="BN40">
        <v>4</v>
      </c>
      <c r="BO40">
        <v>3</v>
      </c>
      <c r="BP40" t="s">
        <v>103</v>
      </c>
      <c r="BQ40" t="s">
        <v>103</v>
      </c>
      <c r="BR40">
        <v>4</v>
      </c>
      <c r="BS40" t="s">
        <v>103</v>
      </c>
      <c r="BU40">
        <v>219.24</v>
      </c>
      <c r="BV40">
        <v>106.62</v>
      </c>
      <c r="CI40">
        <v>112.62</v>
      </c>
    </row>
    <row r="41" spans="1:87" x14ac:dyDescent="0.35">
      <c r="A41">
        <v>177</v>
      </c>
      <c r="B41" t="s">
        <v>251</v>
      </c>
      <c r="C41">
        <v>2</v>
      </c>
      <c r="D41" t="s">
        <v>92</v>
      </c>
      <c r="E41">
        <v>754671243</v>
      </c>
      <c r="F41" t="s">
        <v>252</v>
      </c>
      <c r="G41" t="s">
        <v>251</v>
      </c>
      <c r="H41" t="s">
        <v>94</v>
      </c>
      <c r="I41" t="s">
        <v>95</v>
      </c>
      <c r="J41" t="s">
        <v>95</v>
      </c>
      <c r="K41" t="s">
        <v>95</v>
      </c>
      <c r="L41" t="s">
        <v>95</v>
      </c>
      <c r="M41" t="s">
        <v>95</v>
      </c>
      <c r="O41" t="s">
        <v>94</v>
      </c>
      <c r="Q41" t="s">
        <v>108</v>
      </c>
      <c r="R41" t="s">
        <v>137</v>
      </c>
      <c r="S41" t="s">
        <v>94</v>
      </c>
      <c r="T41" t="s">
        <v>94</v>
      </c>
      <c r="U41" t="s">
        <v>94</v>
      </c>
      <c r="V41" t="s">
        <v>95</v>
      </c>
      <c r="W41" t="s">
        <v>94</v>
      </c>
      <c r="X41" t="s">
        <v>95</v>
      </c>
      <c r="Y41" t="s">
        <v>95</v>
      </c>
      <c r="AG41">
        <v>3</v>
      </c>
      <c r="AH41">
        <v>2</v>
      </c>
      <c r="AI41" t="s">
        <v>138</v>
      </c>
      <c r="AJ41" t="s">
        <v>138</v>
      </c>
      <c r="AK41" t="s">
        <v>138</v>
      </c>
      <c r="AL41">
        <v>3</v>
      </c>
      <c r="AM41" t="s">
        <v>253</v>
      </c>
      <c r="AN41" t="s">
        <v>140</v>
      </c>
      <c r="AO41">
        <v>3</v>
      </c>
      <c r="AP41">
        <v>3</v>
      </c>
      <c r="AQ41">
        <v>4</v>
      </c>
      <c r="AR41" t="s">
        <v>126</v>
      </c>
      <c r="AS41">
        <v>4</v>
      </c>
      <c r="AT41">
        <v>4</v>
      </c>
      <c r="AU41">
        <v>3</v>
      </c>
      <c r="AV41">
        <v>3</v>
      </c>
      <c r="AW41">
        <v>4</v>
      </c>
      <c r="AX41">
        <v>4</v>
      </c>
      <c r="AY41">
        <v>4</v>
      </c>
      <c r="AZ41">
        <v>4</v>
      </c>
      <c r="BA41">
        <v>4</v>
      </c>
      <c r="BB41">
        <v>4</v>
      </c>
      <c r="BC41">
        <v>4</v>
      </c>
      <c r="BD41">
        <v>4</v>
      </c>
      <c r="BE41">
        <v>3</v>
      </c>
      <c r="BF41">
        <v>3</v>
      </c>
      <c r="BG41">
        <v>3</v>
      </c>
      <c r="BH41">
        <v>3</v>
      </c>
      <c r="BI41">
        <v>3</v>
      </c>
      <c r="BJ41">
        <v>3</v>
      </c>
      <c r="BK41">
        <v>3</v>
      </c>
      <c r="BL41">
        <v>3</v>
      </c>
      <c r="BM41">
        <v>3</v>
      </c>
      <c r="BN41">
        <v>4</v>
      </c>
      <c r="BO41">
        <v>3</v>
      </c>
      <c r="BP41" t="s">
        <v>103</v>
      </c>
      <c r="BQ41" t="s">
        <v>103</v>
      </c>
      <c r="BR41">
        <v>4</v>
      </c>
      <c r="BS41" t="s">
        <v>103</v>
      </c>
      <c r="BU41">
        <v>248.72</v>
      </c>
      <c r="BV41">
        <v>146.88999999999999</v>
      </c>
      <c r="CI41">
        <v>101.83</v>
      </c>
    </row>
    <row r="42" spans="1:87" x14ac:dyDescent="0.35">
      <c r="A42">
        <v>178</v>
      </c>
      <c r="B42" t="s">
        <v>254</v>
      </c>
      <c r="C42">
        <v>2</v>
      </c>
      <c r="D42" t="s">
        <v>92</v>
      </c>
      <c r="E42">
        <v>406070098</v>
      </c>
      <c r="F42" t="s">
        <v>255</v>
      </c>
      <c r="G42" t="s">
        <v>254</v>
      </c>
      <c r="H42" t="s">
        <v>94</v>
      </c>
      <c r="I42" t="s">
        <v>95</v>
      </c>
      <c r="J42" t="s">
        <v>95</v>
      </c>
      <c r="K42" t="s">
        <v>95</v>
      </c>
      <c r="L42" t="s">
        <v>94</v>
      </c>
      <c r="M42" t="s">
        <v>95</v>
      </c>
      <c r="O42" t="s">
        <v>94</v>
      </c>
      <c r="Q42" t="s">
        <v>108</v>
      </c>
      <c r="R42" t="s">
        <v>94</v>
      </c>
      <c r="S42" t="s">
        <v>94</v>
      </c>
      <c r="T42" t="s">
        <v>94</v>
      </c>
      <c r="U42" t="s">
        <v>94</v>
      </c>
      <c r="V42" t="s">
        <v>94</v>
      </c>
      <c r="W42" t="s">
        <v>94</v>
      </c>
      <c r="X42" t="s">
        <v>95</v>
      </c>
      <c r="Y42" t="s">
        <v>95</v>
      </c>
      <c r="AG42" t="s">
        <v>139</v>
      </c>
      <c r="AH42" t="s">
        <v>139</v>
      </c>
      <c r="AI42" t="s">
        <v>138</v>
      </c>
      <c r="AJ42" t="s">
        <v>138</v>
      </c>
      <c r="AK42" t="s">
        <v>138</v>
      </c>
      <c r="AL42" t="s">
        <v>139</v>
      </c>
      <c r="AN42" t="s">
        <v>140</v>
      </c>
      <c r="AO42">
        <v>2</v>
      </c>
      <c r="AP42">
        <v>3</v>
      </c>
      <c r="AQ42">
        <v>4</v>
      </c>
      <c r="AR42" t="s">
        <v>126</v>
      </c>
      <c r="AS42" t="s">
        <v>102</v>
      </c>
      <c r="AT42">
        <v>3</v>
      </c>
      <c r="AU42">
        <v>4</v>
      </c>
      <c r="AV42">
        <v>4</v>
      </c>
      <c r="AW42">
        <v>3</v>
      </c>
      <c r="AX42">
        <v>4</v>
      </c>
      <c r="AY42">
        <v>3</v>
      </c>
      <c r="AZ42" t="s">
        <v>102</v>
      </c>
      <c r="BA42">
        <v>4</v>
      </c>
      <c r="BB42">
        <v>4</v>
      </c>
      <c r="BC42">
        <v>2</v>
      </c>
      <c r="BD42">
        <v>2</v>
      </c>
      <c r="BE42" t="s">
        <v>102</v>
      </c>
      <c r="BF42" t="s">
        <v>102</v>
      </c>
      <c r="BG42">
        <v>3</v>
      </c>
      <c r="BH42" t="s">
        <v>102</v>
      </c>
      <c r="BI42">
        <v>3</v>
      </c>
      <c r="BJ42" t="s">
        <v>102</v>
      </c>
      <c r="BK42">
        <v>4</v>
      </c>
      <c r="BL42" t="s">
        <v>102</v>
      </c>
      <c r="BM42">
        <v>3</v>
      </c>
      <c r="BN42" t="s">
        <v>103</v>
      </c>
      <c r="BO42">
        <v>4</v>
      </c>
      <c r="BP42">
        <v>2</v>
      </c>
      <c r="BQ42" t="s">
        <v>103</v>
      </c>
      <c r="BR42" t="s">
        <v>103</v>
      </c>
      <c r="BS42" t="s">
        <v>103</v>
      </c>
      <c r="BU42">
        <v>229.03</v>
      </c>
      <c r="BV42">
        <v>86.35</v>
      </c>
      <c r="CI42">
        <v>142.68</v>
      </c>
    </row>
    <row r="44" spans="1:87" x14ac:dyDescent="0.35">
      <c r="N44" t="s">
        <v>94</v>
      </c>
      <c r="O44">
        <f>COUNTIF($O$2:$O$42,N44)</f>
        <v>23</v>
      </c>
      <c r="Q44" t="s">
        <v>98</v>
      </c>
      <c r="T44" t="s">
        <v>94</v>
      </c>
      <c r="U44">
        <f>COUNTIF($U$2:$U$42,T44)</f>
        <v>7</v>
      </c>
      <c r="AM44" t="s">
        <v>100</v>
      </c>
      <c r="AN44">
        <f>COUNTIF($AN$2:$AN$42,AM44)</f>
        <v>13</v>
      </c>
    </row>
    <row r="45" spans="1:87" x14ac:dyDescent="0.35">
      <c r="N45" t="s">
        <v>95</v>
      </c>
      <c r="O45">
        <f>COUNTIF($O$2:$O$42,N45)</f>
        <v>18</v>
      </c>
      <c r="Q45" t="s">
        <v>164</v>
      </c>
      <c r="T45" t="s">
        <v>95</v>
      </c>
      <c r="U45">
        <f>COUNTIF($U$2:$U$42,T45)</f>
        <v>34</v>
      </c>
      <c r="AM45" t="s">
        <v>140</v>
      </c>
      <c r="AN45">
        <f t="shared" ref="AN45:AN46" si="0">COUNTIF($AN$2:$AN$42,AM45)</f>
        <v>19</v>
      </c>
    </row>
    <row r="46" spans="1:87" x14ac:dyDescent="0.35">
      <c r="Q46" t="s">
        <v>150</v>
      </c>
      <c r="AM46" t="s">
        <v>161</v>
      </c>
      <c r="AN46">
        <f t="shared" si="0"/>
        <v>9</v>
      </c>
    </row>
    <row r="47" spans="1:87" x14ac:dyDescent="0.35">
      <c r="Q47" t="s">
        <v>108</v>
      </c>
    </row>
    <row r="48" spans="1:87" x14ac:dyDescent="0.35">
      <c r="P48" t="s">
        <v>98</v>
      </c>
      <c r="Q48">
        <f>COUNTIF($Q$2:$Q$42,P48)</f>
        <v>11</v>
      </c>
    </row>
    <row r="49" spans="16:17" x14ac:dyDescent="0.35">
      <c r="P49" t="s">
        <v>164</v>
      </c>
      <c r="Q49">
        <f t="shared" ref="Q49:Q50" si="1">COUNTIF($Q$2:$Q$42,P49)</f>
        <v>2</v>
      </c>
    </row>
    <row r="50" spans="16:17" x14ac:dyDescent="0.35">
      <c r="P50" t="s">
        <v>150</v>
      </c>
      <c r="Q50">
        <f t="shared" si="1"/>
        <v>6</v>
      </c>
    </row>
    <row r="51" spans="16:17" x14ac:dyDescent="0.35">
      <c r="P51" t="s">
        <v>108</v>
      </c>
      <c r="Q51">
        <f>COUNTIF($Q$2:$Q$42,P51)</f>
        <v>22</v>
      </c>
    </row>
    <row r="53" spans="16:17" x14ac:dyDescent="0.35">
      <c r="P53" t="s">
        <v>94</v>
      </c>
      <c r="Q53">
        <f>COUNTIF($R$2:$R$42,P53)</f>
        <v>4</v>
      </c>
    </row>
    <row r="54" spans="16:17" x14ac:dyDescent="0.35">
      <c r="P54" t="s">
        <v>137</v>
      </c>
      <c r="Q54">
        <f t="shared" ref="Q54:Q55" si="2">COUNTIF($R$2:$R$42,P54)</f>
        <v>10</v>
      </c>
    </row>
    <row r="55" spans="16:17" x14ac:dyDescent="0.35">
      <c r="P55" t="s">
        <v>95</v>
      </c>
      <c r="Q55">
        <f t="shared" si="2"/>
        <v>9</v>
      </c>
    </row>
    <row r="56" spans="16:17" x14ac:dyDescent="0.35">
      <c r="Q56">
        <f>COUNTBLANK($R$2:$R$42)</f>
        <v>18</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Encuesta de ingreso a énfasis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Kryscia Ramírez Benavides</cp:lastModifiedBy>
  <cp:revision>0</cp:revision>
  <dcterms:created xsi:type="dcterms:W3CDTF">2025-11-28T15:19:00Z</dcterms:created>
  <dcterms:modified xsi:type="dcterms:W3CDTF">2026-04-14T00:35:49Z</dcterms:modified>
</cp:coreProperties>
</file>