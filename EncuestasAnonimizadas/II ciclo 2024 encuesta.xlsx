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krysd\Dropbox\ComisionEvaluacionOrientacion\Enfasis\Encuestas\EncuestasAnomizadas\"/>
    </mc:Choice>
  </mc:AlternateContent>
  <xr:revisionPtr revIDLastSave="0" documentId="13_ncr:1_{A2037518-C298-447F-A57C-7957A6357522}" xr6:coauthVersionLast="47" xr6:coauthVersionMax="47" xr10:uidLastSave="{00000000-0000-0000-0000-000000000000}"/>
  <bookViews>
    <workbookView xWindow="-98" yWindow="-98" windowWidth="23596" windowHeight="15076" tabRatio="212" xr2:uid="{00000000-000D-0000-FFFF-FFFF00000000}"/>
  </bookViews>
  <sheets>
    <sheet name="Encuesta de ingreso a énfas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47" i="1" l="1"/>
  <c r="AN48" i="1"/>
  <c r="AN46" i="1"/>
  <c r="U51" i="1"/>
  <c r="U50" i="1"/>
  <c r="R53" i="1"/>
  <c r="R51" i="1"/>
  <c r="R52" i="1"/>
  <c r="R50" i="1"/>
  <c r="Q46" i="1"/>
  <c r="Q47" i="1"/>
  <c r="Q48" i="1"/>
  <c r="Q45" i="1"/>
  <c r="N46" i="1"/>
  <c r="N45" i="1"/>
</calcChain>
</file>

<file path=xl/sharedStrings.xml><?xml version="1.0" encoding="utf-8"?>
<sst xmlns="http://schemas.openxmlformats.org/spreadsheetml/2006/main" count="1456" uniqueCount="241">
  <si>
    <t>ID de respuesta</t>
  </si>
  <si>
    <t>Fecha de envío</t>
  </si>
  <si>
    <t>Última página</t>
  </si>
  <si>
    <t>Lenguaje inicial</t>
  </si>
  <si>
    <t>Semilla</t>
  </si>
  <si>
    <t>Fecha de inicio</t>
  </si>
  <si>
    <t>Fecha de la última acción</t>
  </si>
  <si>
    <t>¿Por cuáles medios se enteró de las actividades informativas de énfasis? [Correo institucional UCR]</t>
  </si>
  <si>
    <t>¿Por cuáles medios se enteró de las actividades informativas de énfasis? [Página web de la ECCI]</t>
  </si>
  <si>
    <t>¿Por cuáles medios se enteró de las actividades informativas de énfasis? [Redes sociales de la ECCI]</t>
  </si>
  <si>
    <t>¿Por cuáles medios se enteró de las actividades informativas de énfasis? [Plataforma Element]</t>
  </si>
  <si>
    <t>¿Por cuáles medios se enteró de las actividades informativas de énfasis? [Docentes]</t>
  </si>
  <si>
    <t>¿Por cuáles medios se enteró de las actividades informativas de énfasis? [Compañeros o amigos]</t>
  </si>
  <si>
    <t>¿Por cuáles medios se enteró de las actividades informativas de énfasis? [Otro]</t>
  </si>
  <si>
    <t>¿Asistió a alguna de las actividades organizadas para escogencia de énfasis?</t>
  </si>
  <si>
    <t>Comente por qué no asistió a las actividades. </t>
  </si>
  <si>
    <t>¿En cuál semestre de la carrera tomó la decisión sobre el énfasis?</t>
  </si>
  <si>
    <t>¿Considera que las actividades organizadas para escogencia de énfasis influyeron en su elección?</t>
  </si>
  <si>
    <t>¿Cuáles factores influyeron en su decisión de elección de énfasis? [Interacciones con profesores]</t>
  </si>
  <si>
    <t>¿Cuáles factores influyeron en su decisión de elección de énfasis? [Cursos que ha llevado hasta el momento]</t>
  </si>
  <si>
    <t>¿Cuáles factores influyeron en su decisión de elección de énfasis? [Actividades organizadas por la ECCI]</t>
  </si>
  <si>
    <t>¿Cuáles factores influyeron en su decisión de elección de énfasis? [Interacción con estudiantes avanzados en la carrera]</t>
  </si>
  <si>
    <t>¿Cuáles factores influyeron en su decisión de elección de énfasis? [Análisis del plan de estudios de cada énfasis]</t>
  </si>
  <si>
    <t>¿Cuáles factores influyeron en su decisión de elección de énfasis? [Expectativa de obtener un empleo bien remunerado]</t>
  </si>
  <si>
    <t>¿Cuáles factores influyeron en su decisión de elección de énfasis? [Oferta de puestos disponibles en la industria]</t>
  </si>
  <si>
    <t>¿Cuáles factores influyeron en su decisión de elección de énfasis? [Otro]</t>
  </si>
  <si>
    <t>Indique el impacto que tuvieron las siguientes actividades en su decisión: [Charla Introductoria de los Énfasis]</t>
  </si>
  <si>
    <t>Indique el impacto que tuvieron las siguientes actividades en su decisión: [Mesa Redonda con los Estudiantes de los Énfasis]</t>
  </si>
  <si>
    <t>Indique el impacto que tuvieron las siguientes actividades en su decisión: [Charlas con Egresados-Industria de los Énfasis: CC]</t>
  </si>
  <si>
    <t>Indique el impacto que tuvieron las siguientes actividades en su decisión: [Charlas con Egresados-Industria de los Énfasis: ITI]</t>
  </si>
  <si>
    <t>Indique el impacto que tuvieron las siguientes actividades en su decisión: [Charlas con Egresados-Industria de los Énfasis: IS]</t>
  </si>
  <si>
    <t>Indique el impacto que tuvieron las siguientes actividades en su decisión: [Charla Mitos y Realidades, y Proceso Administrativo de Elección de Énfasis]</t>
  </si>
  <si>
    <t>Indique qué tan útiles fueron las siguientes actividades: [Charla Introductoria de los Énfasis]</t>
  </si>
  <si>
    <t>Indique qué tan útiles fueron las siguientes actividades: [ Mesa Redonda con los Estudiantes de los Énfasis]</t>
  </si>
  <si>
    <t>Indique qué tan útiles fueron las siguientes actividades: [Charlas con Egresados-Industria de los Énfasis: CC]</t>
  </si>
  <si>
    <t>Indique qué tan útiles fueron las siguientes actividades: [Charlas con Egresados-Industria de los Énfasis: ITI]</t>
  </si>
  <si>
    <t>Indique qué tan útiles fueron las siguientes actividades: [Charlas con Egresados-Industria de los Énfasis: IS]</t>
  </si>
  <si>
    <t>Indique qué tan útiles fueron las siguientes actividades: [Charla:  Mitos y Realidades + Proceso Administrativo de Elección de Énfasis]</t>
  </si>
  <si>
    <t>Comente brevemente por qué considera que fueron poco útiles las actividades indicadas en la pregunta anterior.</t>
  </si>
  <si>
    <t>¿Cuál énfasis va a elegir?</t>
  </si>
  <si>
    <t>Valore la dificultad de aprobar los siguientes semestres (ciclos) de la carrera si se lleva el bloque completo, usando una escala de 1 a 5 (donde 1 es muy fácil y 5 es muy difícil).  [I ciclo Introducción a la Computación + Introducción a la Matemática para Computación + Generales + Inglés + Deportiva]</t>
  </si>
  <si>
    <t>Valore la dificultad de aprobar los siguientes semestres (ciclos) de la carrera si se lleva el bloque completo, usando una escala de 1 a 5 (donde 1 es muy fácil y 5 es muy difícil).  [II ciclo Estructuras Discretas + Programación 1 + Cálculo 1 + Generales]</t>
  </si>
  <si>
    <t>Valore la dificultad de aprobar los siguientes semestres (ciclos) de la carrera si se lleva el bloque completo, usando una escala de 1 a 5 (donde 1 es muy fácil y 5 es muy difícil).  [III ciclo Programación 2 + Fundamentos de Arquitectura + Cálculo 2 + Álgebra Lineal + Seminario de Realidad Nacional]</t>
  </si>
  <si>
    <t>Valore la dificultad de aprobar los siguientes semestres (ciclos) de la carrera si se lleva el bloque completo, usando una escala de 1 a 5 (donde 1 es muy fácil y 5 es muy difícil).  [IV ciclo Programación Paralela y Concurrente + Análisis de Algoritmos y Estructuras de Datos + Probabilidad y Estadística + Lenguaje Ensamblador + Proyecto Integrador de Ensambla-Arqui]</t>
  </si>
  <si>
    <t>Califique el dominio que tiene de las siguientes áreas de conocimiento y qué tan efectiva fue su enseñanza. Use una escala de 1 a 5, donde 1 es muy bajo y 5 es muy alto. [Programación][Eje 1]</t>
  </si>
  <si>
    <t>Califique el dominio que tiene de las siguientes áreas de conocimiento y qué tan efectiva fue su enseñanza. Use una escala de 1 a 5, donde 1 es muy bajo y 5 es muy alto. [Programación][Eje 2]</t>
  </si>
  <si>
    <t>Califique el dominio que tiene de las siguientes áreas de conocimiento y qué tan efectiva fue su enseñanza. Use una escala de 1 a 5, donde 1 es muy bajo y 5 es muy alto. [Estructuras discretas][Eje 1]</t>
  </si>
  <si>
    <t>Califique el dominio que tiene de las siguientes áreas de conocimiento y qué tan efectiva fue su enseñanza. Use una escala de 1 a 5, donde 1 es muy bajo y 5 es muy alto. [Estructuras discretas][Eje 2]</t>
  </si>
  <si>
    <t>Califique el dominio que tiene de las siguientes áreas de conocimiento y qué tan efectiva fue su enseñanza. Use una escala de 1 a 5, donde 1 es muy bajo y 5 es muy alto. [Fundamentos de arquitectura][Eje 1]</t>
  </si>
  <si>
    <t>Califique el dominio que tiene de las siguientes áreas de conocimiento y qué tan efectiva fue su enseñanza. Use una escala de 1 a 5, donde 1 es muy bajo y 5 es muy alto. [Fundamentos de arquitectura][Eje 2]</t>
  </si>
  <si>
    <t>Califique el dominio que tiene de las siguientes áreas de conocimiento y qué tan efectiva fue su enseñanza. Use una escala de 1 a 5, donde 1 es muy bajo y 5 es muy alto. [Lenguaje Ensamblador][Eje 1]</t>
  </si>
  <si>
    <t>Califique el dominio que tiene de las siguientes áreas de conocimiento y qué tan efectiva fue su enseñanza. Use una escala de 1 a 5, donde 1 es muy bajo y 5 es muy alto. [Lenguaje Ensamblador][Eje 2]</t>
  </si>
  <si>
    <t>Califique el dominio que tiene de las siguientes áreas de conocimiento y qué tan efectiva fue su enseñanza. Use una escala de 1 a 5, donde 1 es muy bajo y 5 es muy alto. [Análisis de algoritmos y estructuras de datos][Eje 1]</t>
  </si>
  <si>
    <t>Califique el dominio que tiene de las siguientes áreas de conocimiento y qué tan efectiva fue su enseñanza. Use una escala de 1 a 5, donde 1 es muy bajo y 5 es muy alto. [Análisis de algoritmos y estructuras de datos][Eje 2]</t>
  </si>
  <si>
    <t>Califique el dominio que tiene de las siguientes áreas de conocimiento y qué tan efectiva fue su enseñanza. Use una escala de 1 a 5, donde 1 es muy bajo y 5 es muy alto. [Programación paralela y concurrente][Eje 1]</t>
  </si>
  <si>
    <t>Califique el dominio que tiene de las siguientes áreas de conocimiento y qué tan efectiva fue su enseñanza. Use una escala de 1 a 5, donde 1 es muy bajo y 5 es muy alto. [Programación paralela y concurrente][Eje 2]</t>
  </si>
  <si>
    <t>Califique el dominio que tiene de las siguientes áreas de conocimiento y qué tan efectiva fue su enseñanza. Use una escala de 1 a 5, donde 1 es muy bajo y 5 es muy alto. [Introducción a la matemática para computación][Eje 1]</t>
  </si>
  <si>
    <t>Califique el dominio que tiene de las siguientes áreas de conocimiento y qué tan efectiva fue su enseñanza. Use una escala de 1 a 5, donde 1 es muy bajo y 5 es muy alto. [Introducción a la matemática para computación][Eje 2]</t>
  </si>
  <si>
    <t>Califique el dominio que tiene de las siguientes áreas de conocimiento y qué tan efectiva fue su enseñanza. Use una escala de 1 a 5, donde 1 es muy bajo y 5 es muy alto. [Álgebra lineal][Eje 1]</t>
  </si>
  <si>
    <t>Califique el dominio que tiene de las siguientes áreas de conocimiento y qué tan efectiva fue su enseñanza. Use una escala de 1 a 5, donde 1 es muy bajo y 5 es muy alto. [Álgebra lineal][Eje 2]</t>
  </si>
  <si>
    <t>Califique el dominio que tiene de las siguientes áreas de conocimiento y qué tan efectiva fue su enseñanza. Use una escala de 1 a 5, donde 1 es muy bajo y 5 es muy alto. [Cálculo diferencial e integral][Eje 1]</t>
  </si>
  <si>
    <t>Califique el dominio que tiene de las siguientes áreas de conocimiento y qué tan efectiva fue su enseñanza. Use una escala de 1 a 5, donde 1 es muy bajo y 5 es muy alto. [Cálculo diferencial e integral][Eje 2]</t>
  </si>
  <si>
    <t>Califique el dominio que tiene de las siguientes áreas de conocimiento y qué tan efectiva fue su enseñanza. Use una escala de 1 a 5, donde 1 es muy bajo y 5 es muy alto. [Probabilidad y estadística][Eje 1]</t>
  </si>
  <si>
    <t>Califique el dominio que tiene de las siguientes áreas de conocimiento y qué tan efectiva fue su enseñanza. Use una escala de 1 a 5, donde 1 es muy bajo y 5 es muy alto. [Probabilidad y estadística][Eje 2]</t>
  </si>
  <si>
    <t>Indique qué tanto ha mejorado las siguientes habilidades o actitudes desde que inició la carrera. Use una escala de 1 a 5, donde 1 es el puntaje más bajo y 5 es el puntaje más alto. [Capacidad de trabajar en equipos]</t>
  </si>
  <si>
    <t>Indique qué tanto ha mejorado las siguientes habilidades o actitudes desde que inició la carrera. Use una escala de 1 a 5, donde 1 es el puntaje más bajo y 5 es el puntaje más alto. [Actitud ética, con responsabilidad profesional y compromiso social]</t>
  </si>
  <si>
    <t>Indique qué tanto ha mejorado las siguientes habilidades o actitudes desde que inició la carrera. Use una escala de 1 a 5, donde 1 es el puntaje más bajo y 5 es el puntaje más alto. [Comunicación asertiva]</t>
  </si>
  <si>
    <t>Indique qué tanto ha mejorado las siguientes habilidades o actitudes desde que inició la carrera. Use una escala de 1 a 5, donde 1 es el puntaje más bajo y 5 es el puntaje más alto. [Perseverancia]</t>
  </si>
  <si>
    <t>Indique qué tanto ha mejorado las siguientes habilidades o actitudes desde que inició la carrera. Use una escala de 1 a 5, donde 1 es el puntaje más bajo y 5 es el puntaje más alto. [Disciplina]</t>
  </si>
  <si>
    <t>Indique qué tanto ha mejorado las siguientes habilidades o actitudes desde que inició la carrera. Use una escala de 1 a 5, donde 1 es el puntaje más bajo y 5 es el puntaje más alto. [Colaboración]</t>
  </si>
  <si>
    <t>Indique qué tanto ha mejorado las siguientes habilidades o actitudes desde que inició la carrera. Use una escala de 1 a 5, donde 1 es el puntaje más bajo y 5 es el puntaje más alto. [Responsabilidad]</t>
  </si>
  <si>
    <t>Cualquier comentario o sugerencia que tenga sobre los dos primeros años del plan de estudios que ha cursado, será bienvenido. Por favor escríbalo aquí.</t>
  </si>
  <si>
    <t>Tiempo total</t>
  </si>
  <si>
    <t>Temporización del grupo: Información general</t>
  </si>
  <si>
    <t>Temporización de la pregunta: I01</t>
  </si>
  <si>
    <t>Temporización de la pregunta: I02</t>
  </si>
  <si>
    <t>Temporización de la pregunta: PC01</t>
  </si>
  <si>
    <t>Temporización de la pregunta: I03</t>
  </si>
  <si>
    <t>Temporización de la pregunta: NA01</t>
  </si>
  <si>
    <t>Temporización de la pregunta: I04</t>
  </si>
  <si>
    <t>Temporización de la pregunta: S05</t>
  </si>
  <si>
    <t>Temporización de la pregunta: I06</t>
  </si>
  <si>
    <t>Temporización de la pregunta: S07</t>
  </si>
  <si>
    <t>Temporización de la pregunta: S08</t>
  </si>
  <si>
    <t>Temporización de la pregunta: S09</t>
  </si>
  <si>
    <t>Temporización de la pregunta: I10</t>
  </si>
  <si>
    <t>Temporización del grupo: Retroalimentación sobre los dos primeros años del plan de estudios</t>
  </si>
  <si>
    <t>Temporización de la pregunta: R01</t>
  </si>
  <si>
    <t>Temporización de la pregunta: R02</t>
  </si>
  <si>
    <t>Temporización de la pregunta: R03</t>
  </si>
  <si>
    <t>Temporización de la pregunta: R04</t>
  </si>
  <si>
    <t>2024-11-06 17:16:14</t>
  </si>
  <si>
    <t>es</t>
  </si>
  <si>
    <t>2024-11-06 17:14:04</t>
  </si>
  <si>
    <t>Sí</t>
  </si>
  <si>
    <t>No</t>
  </si>
  <si>
    <t>No me eran tan relevantes ya que tenía idea de cuáles énfasis escoger</t>
  </si>
  <si>
    <t>I semestre del 1er año</t>
  </si>
  <si>
    <t>CC: Ciencias de la Computación</t>
  </si>
  <si>
    <t>Muy fácil: 1</t>
  </si>
  <si>
    <t>Muy bajo 1</t>
  </si>
  <si>
    <t>Muy alto 5</t>
  </si>
  <si>
    <t>2024-11-06 17:59:54</t>
  </si>
  <si>
    <t>2024-11-06 17:48:05</t>
  </si>
  <si>
    <t>Por trabajo</t>
  </si>
  <si>
    <t>Era mi carrera original</t>
  </si>
  <si>
    <t>No las considero  poco útiles, creo que ayudan a muchos estudiantes, solo no es mi caso.</t>
  </si>
  <si>
    <t>No he mejorado: 1</t>
  </si>
  <si>
    <t>2024-11-06 18:43:07</t>
  </si>
  <si>
    <t>2024-11-06 18:39:26</t>
  </si>
  <si>
    <t>II semestre del 2do año</t>
  </si>
  <si>
    <t>5 - Muy útil</t>
  </si>
  <si>
    <t>No asistí</t>
  </si>
  <si>
    <t>He mejorado mucho: 5</t>
  </si>
  <si>
    <t>2024-11-06 19:28:42</t>
  </si>
  <si>
    <t>2024-11-06 19:21:13</t>
  </si>
  <si>
    <t>Parcialmente</t>
  </si>
  <si>
    <t>Explican bien los énfasis, dan una idea clara de qué es lo que se puede esperar.</t>
  </si>
  <si>
    <t>IS: Ingeniería de Software</t>
  </si>
  <si>
    <t>Muy difícil: 5</t>
  </si>
  <si>
    <t>Creo que el IV semestre está muy cargado. Sería bueno hacer una mejor distribución. Me parece extraño que el bloque común tenga 3 cursos relacionados con lenguaje en ensamblador y ninguno de desarrollo web.</t>
  </si>
  <si>
    <t>2024-11-06 19:45:12</t>
  </si>
  <si>
    <t>2024-11-06 19:41:20</t>
  </si>
  <si>
    <t>Falta de tiempo</t>
  </si>
  <si>
    <t>II semestre del 1er año</t>
  </si>
  <si>
    <t>Me interesa el análisis de datos y aprendizaje automático.</t>
  </si>
  <si>
    <t>2024-11-08 09:08:40</t>
  </si>
  <si>
    <t>2024-11-08 09:05:07</t>
  </si>
  <si>
    <t>Las horas y las fechas eran complicado la asistencia</t>
  </si>
  <si>
    <t>2024-11-08 15:09:45</t>
  </si>
  <si>
    <t>2024-11-08 15:06:36</t>
  </si>
  <si>
    <t>ITI: Ingeniería de Tecnologías de la Información</t>
  </si>
  <si>
    <t>2024-11-11 00:24:22</t>
  </si>
  <si>
    <t>2024-11-10 21:13:03</t>
  </si>
  <si>
    <t>Ya tenia claro cual de las opciones queria escoger.</t>
  </si>
  <si>
    <t>En el caso de las actividades para el enfasis, ya sabia lo que queria seleccionar por lo que no me fueron relevantes.</t>
  </si>
  <si>
    <t>2024-11-12 11:03:31</t>
  </si>
  <si>
    <t>2024-11-12 11:00:25</t>
  </si>
  <si>
    <t>2024-11-12 11:05:19</t>
  </si>
  <si>
    <t>2024-11-12 11:02:16</t>
  </si>
  <si>
    <t>2024-11-12 11:30:06</t>
  </si>
  <si>
    <t>2024-11-12 11:23:53</t>
  </si>
  <si>
    <t>I semestre del 2do año</t>
  </si>
  <si>
    <t>La opinion de los estudiantes o egresados es muy personal</t>
  </si>
  <si>
    <t>2024-11-12 12:11:02</t>
  </si>
  <si>
    <t>2024-11-12 12:07:33</t>
  </si>
  <si>
    <t>2024-11-12 22:56:22</t>
  </si>
  <si>
    <t>2024-11-12 22:01:12</t>
  </si>
  <si>
    <t>No tenía tiempo y ya sabía el énfasis</t>
  </si>
  <si>
    <t>No pienso que fueran poco útiles.</t>
  </si>
  <si>
    <t>El curso de paralela debería valer más créditos y el segundo semestre del segundo año se hace muy complicado llevarlo completo y aprobar todo</t>
  </si>
  <si>
    <t>2024-11-13 00:01:31</t>
  </si>
  <si>
    <t>2024-11-12 23:53:00</t>
  </si>
  <si>
    <t>2024-11-13 11:32:45</t>
  </si>
  <si>
    <t>2024-11-13 11:28:13</t>
  </si>
  <si>
    <t>Ayudan a tener una idea de cómo se podrían desempeñar los profesionales de los distintos énfasis</t>
  </si>
  <si>
    <t>2024-11-13 12:41:41</t>
  </si>
  <si>
    <t>2024-11-13 12:34:44</t>
  </si>
  <si>
    <t>En realidad, todas fueron útiles ya que me brindaron información suficiente para tomar la decisión.</t>
  </si>
  <si>
    <t>Desde mi experiencia, los dos primeros años han sido muy buenos al brindarme los conocimientos básicos que debe tener un profesional en computación, además en profundizar en las diversas áreas que comprende la computación es de gran ayuda para reconociendo en que enfocarse como profesional en un futuro.</t>
  </si>
  <si>
    <t>2024-11-13 14:10:36</t>
  </si>
  <si>
    <t>2024-11-13 13:52:22</t>
  </si>
  <si>
    <t>La estructura de algunos cursos como Programación paralela y concurrente es deficiente, dada la gran cantidad de materia para ver y el tiempo disponible, con frecuencia es necesario atrasar fechas de entrega, recortar la materia vista o inclusive eliminar entregas completas por la imposibilidad de completarlas en el tiempo planeado originalmente. Considero que algunas de las evaluaciones realizadas en el curso de Probabilidad y Estadística no tienen relación con la materia vista, mientras que estas exigen aprender nuevos lenguajes de programación para análisis de datos, el enfoque de la materia vista en clase es más matemático. Algo semejante sucede con el curso Análisis de algoritmos y estructuras de datos: pues si bien las tareas programadas complementan y aplican la materia vista en clase, los reportes de resultados que se solicitan con frecuencia son ambiguos, y las sugerencias realizadas por el profesor y los asistentes se contradicen a lo largo de las entregas; esto se reduce a una penalización demasiado alta en aspectos no totalmente relevantes para el curso, y que son poco claros. El tiempo total solicitado para los cursos del III y IV ciclo en bloque completo suele exceder el esperado.</t>
  </si>
  <si>
    <t>2024-11-13 17:37:02</t>
  </si>
  <si>
    <t>2024-11-13 17:30:26</t>
  </si>
  <si>
    <t>NA</t>
  </si>
  <si>
    <t>2024-11-14 00:38:48</t>
  </si>
  <si>
    <t>2024-11-14 00:17:22</t>
  </si>
  <si>
    <t>Considero que se mencionan o explican cosas muy generales sobre los énfasis.</t>
  </si>
  <si>
    <t>1. Los cursos de programación de los primeros 3 semestres son muy "amigables" en comparación a los del 4to semestre.
2. La perspectiva de los créditos no es muy acertada, no es muy lógico que cursos como programación paralela y estructuras discretas sean del mismo creditaje pero el primero sea infinitamente más demandante y complejo que el segundo.
3. Considero que el curso de introducción a la computación no es muy útil ya que al hablar de tantas cosas distintas no se profundiza en nada, sería mejor opción empezar a programar desde el primer semestre, lo cuál podría ayudar con el punto 1.</t>
  </si>
  <si>
    <t>2024-11-14 07:49:55</t>
  </si>
  <si>
    <t>2024-11-14 07:46:09</t>
  </si>
  <si>
    <t>2024-11-14 08:40:18</t>
  </si>
  <si>
    <t>2024-11-14 08:37:07</t>
  </si>
  <si>
    <t>2024-11-14 09:05:31</t>
  </si>
  <si>
    <t>2024-11-14 08:56:58</t>
  </si>
  <si>
    <t>2024-11-14 12:55:46</t>
  </si>
  <si>
    <t>2024-11-14 12:28:40</t>
  </si>
  <si>
    <t>2024-11-14 17:10:53</t>
  </si>
  <si>
    <t>2024-11-14 17:07:29</t>
  </si>
  <si>
    <t>No fue necesario</t>
  </si>
  <si>
    <t>2024-11-14 18:38:33</t>
  </si>
  <si>
    <t>2024-11-14 18:09:08</t>
  </si>
  <si>
    <t>Por el contrario, me pareció relajante para no estresarme tanto con la elección.</t>
  </si>
  <si>
    <t>Simplificar material de cálculo cómo estudiantes de programación nuestro interés es resolver problemas de manera eficiente y el material es demasiado para lo que se ha necesitado.
Se podría considerar metodología de una clase maestra con un profe que sepa mucho de la materia y posterior tener profesores en práctica para hacerles consultas personalmente de la maestra´.</t>
  </si>
  <si>
    <t>2024-11-14 18:38:43</t>
  </si>
  <si>
    <t>2024-11-14 18:10:27</t>
  </si>
  <si>
    <t>Grupo de whatsapp</t>
  </si>
  <si>
    <t>Utilicé el tiempo brindado para poder completar trabajos/tareas/proyectos</t>
  </si>
  <si>
    <t>No considero que fueran poco útiles, de hecho, brindan soportes para la elección de énfasis</t>
  </si>
  <si>
    <t>Correlacionar de manera más directa los cursos mátematicos con los demás cursos de la carrera. A lo que me refiero es a poder relacionar lo que se ve en los cursos de matemática con los cursos de la carrera.</t>
  </si>
  <si>
    <t>2024-11-14 18:52:55</t>
  </si>
  <si>
    <t>2024-11-14 18:47:26</t>
  </si>
  <si>
    <t>Permite tener un panorama general del enfasis de interes.</t>
  </si>
  <si>
    <t>Sinceramente mi unica sugerencia seria adaptar un poco mejor los cursos de matematicas.</t>
  </si>
  <si>
    <t>2024-11-14 23:37:40</t>
  </si>
  <si>
    <t>2024-11-14 23:22:00</t>
  </si>
  <si>
    <t>En mi parecer fueron bastante útiles.</t>
  </si>
  <si>
    <t>Deberían poner más atención a los profesores que imparten los cursos, hay muchos que no saben cómo dar clases.</t>
  </si>
  <si>
    <t>2024-11-15 06:11:49</t>
  </si>
  <si>
    <t>2024-11-15 06:08:17</t>
  </si>
  <si>
    <t>2024-11-15 08:33:29</t>
  </si>
  <si>
    <t>2024-11-15 08:27:29</t>
  </si>
  <si>
    <t>2024-11-15 13:06:55</t>
  </si>
  <si>
    <t>2024-11-15 13:02:40</t>
  </si>
  <si>
    <t>No pude asistir en las fechas indicadas.</t>
  </si>
  <si>
    <t>Mi decisión es ir por la ciberseguridad, algo que tome gusto por recibir cursos del ina+cisco.</t>
  </si>
  <si>
    <t>2024-11-15 15:42:48</t>
  </si>
  <si>
    <t>2024-11-15 15:14:43</t>
  </si>
  <si>
    <t>Lo siguientes comentarios se relacionan específicamente con el segundo semestre del segundo año. Debe haber una mejor coordinación entre las personas docentes que imparten cursos del cuarto ciclo de la carrera, para que la carga de trabajo de todos los cursos sea una que beneficie el aprendizaje. Durante este semestre, se logra trabajar la perseverancia, en detrimento del aprendizaje de la materia, debido a la distribución desbalanceada de la carga de trabajo de los cursos.
Respecto a las evaluaciones que se hacen al final de cada semestre, pienso que es beneficioso hacerlas de manera presencial. Sin embargo, creo que no es de mucho beneficio hacer las evaluaciones sin anunciar cuando van a ocurrir. Usualmente, hacia el final del semestre, la mente está muy ocupada, y producir comentarios, en unos breves minutos, sobre aspectos por mejorar de los distintos cursos se vuelve dificultoso. Pienso que una solución, podría ser que se recomiende que las personas estudiantes mantengan una bitácora, donde paulatinamente escriban comentarios sobre los distintos cursos que están cursando. Puede ser que al final de cada mes, en todas las clases se dediquen los últimos 10 minutos para reflexionar sobre lo que está y no está funcionando en el curso. Al final del semestre, cuando se hagan las evaluaciones, las personas estudiantes pueden pegar en la sección de comentarios, lo que tienen escrito en sus bitácoras. De esta manera, se podría recopilar una retroalimentación de mayor calidad.</t>
  </si>
  <si>
    <t>2024-11-15 16:08:46</t>
  </si>
  <si>
    <t>2024-11-15 15:59:40</t>
  </si>
  <si>
    <t>Ninguna creo que haya sido poco útil, simplemente cumplen su función, pero no creo que condicionen tanto a la hora de escoger énfasis.</t>
  </si>
  <si>
    <t>Pienso que, actualmente, lenguaje ensamblador debería ser un curso de énfasis u optativo. No creo que sea necesario que exista en un bloque general, hoy en día</t>
  </si>
  <si>
    <t>2024-11-15 21:18:02</t>
  </si>
  <si>
    <t>2024-11-15 21:14:28</t>
  </si>
  <si>
    <t>2024-11-15 23:45:40</t>
  </si>
  <si>
    <t>2024-11-15 23:39:45</t>
  </si>
  <si>
    <t>Trabajo</t>
  </si>
  <si>
    <t>Posibilidad de hacer práctica profesional</t>
  </si>
  <si>
    <t>No considero que sean poco útiles.</t>
  </si>
  <si>
    <t>2024-11-17 12:30:07</t>
  </si>
  <si>
    <t>2024-11-17 12:23:01</t>
  </si>
  <si>
    <t>Porque los profesores y los Estudiantes explicaron bien que esperar en cada Énfasis.</t>
  </si>
  <si>
    <t>2024-11-26 13:49:36</t>
  </si>
  <si>
    <t>2024-11-26 13:46:35</t>
  </si>
  <si>
    <t>No estaba en el país cuando dieron la charla</t>
  </si>
  <si>
    <t>2024-11-26 15:48:29</t>
  </si>
  <si>
    <t>2024-11-26 15:44:22</t>
  </si>
  <si>
    <t>2024-11-26 15:48:28</t>
  </si>
  <si>
    <t>2024-11-27 09:54:58</t>
  </si>
  <si>
    <t>2024-11-27 09:51:47</t>
  </si>
  <si>
    <t>2024-11-27 11:47:46</t>
  </si>
  <si>
    <t>2024-11-27 11:43:47</t>
  </si>
  <si>
    <t>1 - Nada útil</t>
  </si>
  <si>
    <t>No considero que la charla de IS fuera útil para mi ya que antes de escoger los énfasis ya había decidido que no quería ir por este.</t>
  </si>
  <si>
    <t>2024-11-27 12:33:50</t>
  </si>
  <si>
    <t>2024-11-27 12:24:12</t>
  </si>
  <si>
    <t>2024-11-28 21:25:27</t>
  </si>
  <si>
    <t>2024-11-28 21:21:52</t>
  </si>
  <si>
    <t>Blanco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</si>
</sst>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M53"/>
  <sheetViews>
    <sheetView tabSelected="1" zoomScaleNormal="100" workbookViewId="0">
      <selection activeCell="H1" sqref="H1:I1048576"/>
    </sheetView>
  </sheetViews>
  <sheetFormatPr baseColWidth="10" defaultRowHeight="12.75" x14ac:dyDescent="0.35"/>
  <cols>
    <col min="1" max="16" width="11.46484375"/>
    <col min="17" max="17" width="55.1328125" bestFit="1" customWidth="1"/>
    <col min="18" max="18" width="81.53125" bestFit="1" customWidth="1"/>
    <col min="19" max="39" width="11.46484375"/>
    <col min="40" max="40" width="39.3984375" bestFit="1" customWidth="1"/>
    <col min="41" max="1022" width="11.46484375"/>
  </cols>
  <sheetData>
    <row r="1" spans="1:9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row>
    <row r="2" spans="1:91" x14ac:dyDescent="0.35">
      <c r="A2">
        <v>1</v>
      </c>
      <c r="B2" t="s">
        <v>91</v>
      </c>
      <c r="C2">
        <v>2</v>
      </c>
      <c r="D2" t="s">
        <v>92</v>
      </c>
      <c r="E2">
        <v>1653973972</v>
      </c>
      <c r="F2" t="s">
        <v>93</v>
      </c>
      <c r="G2" t="s">
        <v>91</v>
      </c>
      <c r="H2" t="s">
        <v>94</v>
      </c>
      <c r="I2" t="s">
        <v>95</v>
      </c>
      <c r="J2" t="s">
        <v>94</v>
      </c>
      <c r="K2" t="s">
        <v>95</v>
      </c>
      <c r="L2" t="s">
        <v>94</v>
      </c>
      <c r="M2" t="s">
        <v>95</v>
      </c>
      <c r="O2" t="s">
        <v>95</v>
      </c>
      <c r="P2" t="s">
        <v>96</v>
      </c>
      <c r="Q2" t="s">
        <v>97</v>
      </c>
      <c r="S2" t="s">
        <v>94</v>
      </c>
      <c r="T2" t="s">
        <v>94</v>
      </c>
      <c r="U2" t="s">
        <v>95</v>
      </c>
      <c r="V2" t="s">
        <v>94</v>
      </c>
      <c r="W2" t="s">
        <v>94</v>
      </c>
      <c r="X2" t="s">
        <v>95</v>
      </c>
      <c r="Y2" t="s">
        <v>95</v>
      </c>
      <c r="AN2" t="s">
        <v>98</v>
      </c>
      <c r="AO2" t="s">
        <v>99</v>
      </c>
      <c r="AP2">
        <v>3</v>
      </c>
      <c r="AQ2">
        <v>4</v>
      </c>
      <c r="AR2">
        <v>4</v>
      </c>
      <c r="AS2">
        <v>4</v>
      </c>
      <c r="AT2">
        <v>4</v>
      </c>
      <c r="AU2">
        <v>3</v>
      </c>
      <c r="AV2">
        <v>3</v>
      </c>
      <c r="AW2">
        <v>2</v>
      </c>
      <c r="AX2">
        <v>3</v>
      </c>
      <c r="AY2" t="s">
        <v>100</v>
      </c>
      <c r="AZ2">
        <v>4</v>
      </c>
      <c r="BA2">
        <v>4</v>
      </c>
      <c r="BB2">
        <v>4</v>
      </c>
      <c r="BC2">
        <v>4</v>
      </c>
      <c r="BD2">
        <v>4</v>
      </c>
      <c r="BE2">
        <v>3</v>
      </c>
      <c r="BF2" t="s">
        <v>101</v>
      </c>
      <c r="BG2">
        <v>2</v>
      </c>
      <c r="BH2">
        <v>4</v>
      </c>
      <c r="BI2">
        <v>3</v>
      </c>
      <c r="BJ2">
        <v>4</v>
      </c>
      <c r="BK2">
        <v>3</v>
      </c>
      <c r="BL2">
        <v>2</v>
      </c>
      <c r="BM2">
        <v>3</v>
      </c>
      <c r="BN2">
        <v>3</v>
      </c>
      <c r="BO2">
        <v>4</v>
      </c>
      <c r="BP2">
        <v>4</v>
      </c>
      <c r="BQ2">
        <v>4</v>
      </c>
      <c r="BR2">
        <v>3</v>
      </c>
      <c r="BS2">
        <v>3</v>
      </c>
      <c r="BU2">
        <v>129.47</v>
      </c>
      <c r="BV2">
        <v>57.2</v>
      </c>
      <c r="CI2">
        <v>72.27</v>
      </c>
    </row>
    <row r="3" spans="1:91" x14ac:dyDescent="0.35">
      <c r="A3">
        <v>2</v>
      </c>
      <c r="B3" t="s">
        <v>102</v>
      </c>
      <c r="C3">
        <v>2</v>
      </c>
      <c r="D3" t="s">
        <v>92</v>
      </c>
      <c r="E3">
        <v>1781480456</v>
      </c>
      <c r="F3" t="s">
        <v>103</v>
      </c>
      <c r="G3" t="s">
        <v>102</v>
      </c>
      <c r="H3" t="s">
        <v>94</v>
      </c>
      <c r="I3" t="s">
        <v>95</v>
      </c>
      <c r="J3" t="s">
        <v>95</v>
      </c>
      <c r="K3" t="s">
        <v>95</v>
      </c>
      <c r="L3" t="s">
        <v>94</v>
      </c>
      <c r="M3" t="s">
        <v>95</v>
      </c>
      <c r="O3" t="s">
        <v>95</v>
      </c>
      <c r="P3" t="s">
        <v>104</v>
      </c>
      <c r="Q3" t="s">
        <v>97</v>
      </c>
      <c r="S3" t="s">
        <v>95</v>
      </c>
      <c r="T3" t="s">
        <v>95</v>
      </c>
      <c r="U3" t="s">
        <v>95</v>
      </c>
      <c r="V3" t="s">
        <v>95</v>
      </c>
      <c r="W3" t="s">
        <v>94</v>
      </c>
      <c r="X3" t="s">
        <v>95</v>
      </c>
      <c r="Y3" t="s">
        <v>95</v>
      </c>
      <c r="Z3" t="s">
        <v>105</v>
      </c>
      <c r="AM3" t="s">
        <v>106</v>
      </c>
      <c r="AN3" t="s">
        <v>98</v>
      </c>
      <c r="AO3">
        <v>3</v>
      </c>
      <c r="AP3">
        <v>3</v>
      </c>
      <c r="AQ3">
        <v>3</v>
      </c>
      <c r="AR3">
        <v>4</v>
      </c>
      <c r="AS3">
        <v>3</v>
      </c>
      <c r="AT3">
        <v>4</v>
      </c>
      <c r="AU3">
        <v>3</v>
      </c>
      <c r="AV3">
        <v>3</v>
      </c>
      <c r="AW3">
        <v>2</v>
      </c>
      <c r="AX3">
        <v>2</v>
      </c>
      <c r="AY3">
        <v>3</v>
      </c>
      <c r="AZ3">
        <v>4</v>
      </c>
      <c r="BA3">
        <v>3</v>
      </c>
      <c r="BB3">
        <v>2</v>
      </c>
      <c r="BC3">
        <v>3</v>
      </c>
      <c r="BD3">
        <v>4</v>
      </c>
      <c r="BE3">
        <v>3</v>
      </c>
      <c r="BF3">
        <v>3</v>
      </c>
      <c r="BG3">
        <v>3</v>
      </c>
      <c r="BH3">
        <v>4</v>
      </c>
      <c r="BI3">
        <v>3</v>
      </c>
      <c r="BJ3">
        <v>4</v>
      </c>
      <c r="BK3">
        <v>3</v>
      </c>
      <c r="BL3">
        <v>4</v>
      </c>
      <c r="BM3" t="s">
        <v>107</v>
      </c>
      <c r="BN3" t="s">
        <v>107</v>
      </c>
      <c r="BO3" t="s">
        <v>107</v>
      </c>
      <c r="BP3">
        <v>3</v>
      </c>
      <c r="BQ3">
        <v>3</v>
      </c>
      <c r="BR3" t="s">
        <v>107</v>
      </c>
      <c r="BS3">
        <v>3</v>
      </c>
      <c r="BU3">
        <v>708.52</v>
      </c>
      <c r="BV3">
        <v>238.83</v>
      </c>
      <c r="CI3">
        <v>469.69</v>
      </c>
    </row>
    <row r="4" spans="1:91" x14ac:dyDescent="0.35">
      <c r="A4">
        <v>4</v>
      </c>
      <c r="B4" t="s">
        <v>108</v>
      </c>
      <c r="C4">
        <v>2</v>
      </c>
      <c r="D4" t="s">
        <v>92</v>
      </c>
      <c r="E4">
        <v>2040675878</v>
      </c>
      <c r="F4" t="s">
        <v>109</v>
      </c>
      <c r="G4" t="s">
        <v>108</v>
      </c>
      <c r="H4" t="s">
        <v>94</v>
      </c>
      <c r="I4" t="s">
        <v>95</v>
      </c>
      <c r="J4" t="s">
        <v>95</v>
      </c>
      <c r="K4" t="s">
        <v>95</v>
      </c>
      <c r="L4" t="s">
        <v>95</v>
      </c>
      <c r="M4" t="s">
        <v>95</v>
      </c>
      <c r="O4" t="s">
        <v>94</v>
      </c>
      <c r="Q4" t="s">
        <v>110</v>
      </c>
      <c r="R4" t="s">
        <v>94</v>
      </c>
      <c r="S4" t="s">
        <v>95</v>
      </c>
      <c r="T4" t="s">
        <v>95</v>
      </c>
      <c r="U4" t="s">
        <v>94</v>
      </c>
      <c r="V4" t="s">
        <v>94</v>
      </c>
      <c r="W4" t="s">
        <v>94</v>
      </c>
      <c r="X4" t="s">
        <v>95</v>
      </c>
      <c r="Y4" t="s">
        <v>95</v>
      </c>
      <c r="AG4" t="s">
        <v>111</v>
      </c>
      <c r="AH4" t="s">
        <v>111</v>
      </c>
      <c r="AI4">
        <v>2</v>
      </c>
      <c r="AJ4" t="s">
        <v>112</v>
      </c>
      <c r="AK4" t="s">
        <v>112</v>
      </c>
      <c r="AL4" t="s">
        <v>112</v>
      </c>
      <c r="AN4" t="s">
        <v>98</v>
      </c>
      <c r="AO4">
        <v>3</v>
      </c>
      <c r="AP4">
        <v>3</v>
      </c>
      <c r="AQ4">
        <v>3</v>
      </c>
      <c r="AR4">
        <v>3</v>
      </c>
      <c r="AS4">
        <v>4</v>
      </c>
      <c r="AT4">
        <v>4</v>
      </c>
      <c r="AU4">
        <v>3</v>
      </c>
      <c r="AV4">
        <v>3</v>
      </c>
      <c r="AW4">
        <v>3</v>
      </c>
      <c r="AX4" t="s">
        <v>101</v>
      </c>
      <c r="AY4">
        <v>3</v>
      </c>
      <c r="AZ4">
        <v>4</v>
      </c>
      <c r="BA4">
        <v>3</v>
      </c>
      <c r="BB4" t="s">
        <v>101</v>
      </c>
      <c r="BC4">
        <v>4</v>
      </c>
      <c r="BD4" t="s">
        <v>101</v>
      </c>
      <c r="BE4">
        <v>4</v>
      </c>
      <c r="BF4">
        <v>3</v>
      </c>
      <c r="BG4" t="s">
        <v>101</v>
      </c>
      <c r="BH4" t="s">
        <v>101</v>
      </c>
      <c r="BI4">
        <v>4</v>
      </c>
      <c r="BJ4">
        <v>4</v>
      </c>
      <c r="BK4">
        <v>3</v>
      </c>
      <c r="BL4">
        <v>3</v>
      </c>
      <c r="BM4" t="s">
        <v>113</v>
      </c>
      <c r="BN4">
        <v>4</v>
      </c>
      <c r="BO4">
        <v>4</v>
      </c>
      <c r="BP4">
        <v>4</v>
      </c>
      <c r="BQ4">
        <v>3</v>
      </c>
      <c r="BR4" t="s">
        <v>113</v>
      </c>
      <c r="BS4">
        <v>3</v>
      </c>
      <c r="BU4">
        <v>220.12</v>
      </c>
      <c r="BV4">
        <v>92.97</v>
      </c>
      <c r="CI4">
        <v>127.15</v>
      </c>
    </row>
    <row r="5" spans="1:91" x14ac:dyDescent="0.35">
      <c r="A5">
        <v>6</v>
      </c>
      <c r="B5" t="s">
        <v>114</v>
      </c>
      <c r="C5">
        <v>2</v>
      </c>
      <c r="D5" t="s">
        <v>92</v>
      </c>
      <c r="E5">
        <v>231323826</v>
      </c>
      <c r="F5" t="s">
        <v>115</v>
      </c>
      <c r="G5" t="s">
        <v>114</v>
      </c>
      <c r="H5" t="s">
        <v>94</v>
      </c>
      <c r="I5" t="s">
        <v>95</v>
      </c>
      <c r="J5" t="s">
        <v>94</v>
      </c>
      <c r="K5" t="s">
        <v>95</v>
      </c>
      <c r="L5" t="s">
        <v>94</v>
      </c>
      <c r="M5" t="s">
        <v>95</v>
      </c>
      <c r="O5" t="s">
        <v>94</v>
      </c>
      <c r="Q5" t="s">
        <v>110</v>
      </c>
      <c r="R5" t="s">
        <v>116</v>
      </c>
      <c r="S5" t="s">
        <v>94</v>
      </c>
      <c r="T5" t="s">
        <v>94</v>
      </c>
      <c r="U5" t="s">
        <v>95</v>
      </c>
      <c r="V5" t="s">
        <v>95</v>
      </c>
      <c r="W5" t="s">
        <v>94</v>
      </c>
      <c r="X5" t="s">
        <v>95</v>
      </c>
      <c r="Y5" t="s">
        <v>95</v>
      </c>
      <c r="AG5">
        <v>4</v>
      </c>
      <c r="AH5" t="s">
        <v>112</v>
      </c>
      <c r="AI5" t="s">
        <v>112</v>
      </c>
      <c r="AJ5" t="s">
        <v>112</v>
      </c>
      <c r="AK5" t="s">
        <v>112</v>
      </c>
      <c r="AL5" t="s">
        <v>112</v>
      </c>
      <c r="AM5" t="s">
        <v>117</v>
      </c>
      <c r="AN5" t="s">
        <v>118</v>
      </c>
      <c r="AO5">
        <v>2</v>
      </c>
      <c r="AP5">
        <v>3</v>
      </c>
      <c r="AQ5">
        <v>4</v>
      </c>
      <c r="AR5" t="s">
        <v>119</v>
      </c>
      <c r="AS5">
        <v>4</v>
      </c>
      <c r="AT5" t="s">
        <v>101</v>
      </c>
      <c r="AU5">
        <v>2</v>
      </c>
      <c r="AV5" t="s">
        <v>100</v>
      </c>
      <c r="AW5">
        <v>3</v>
      </c>
      <c r="AX5">
        <v>4</v>
      </c>
      <c r="AY5">
        <v>2</v>
      </c>
      <c r="AZ5" t="s">
        <v>100</v>
      </c>
      <c r="BA5">
        <v>4</v>
      </c>
      <c r="BB5">
        <v>3</v>
      </c>
      <c r="BC5">
        <v>4</v>
      </c>
      <c r="BD5" t="s">
        <v>101</v>
      </c>
      <c r="BE5">
        <v>4</v>
      </c>
      <c r="BF5">
        <v>2</v>
      </c>
      <c r="BG5">
        <v>3</v>
      </c>
      <c r="BH5" t="s">
        <v>101</v>
      </c>
      <c r="BI5">
        <v>4</v>
      </c>
      <c r="BJ5" t="s">
        <v>101</v>
      </c>
      <c r="BK5">
        <v>3</v>
      </c>
      <c r="BL5">
        <v>3</v>
      </c>
      <c r="BM5">
        <v>3</v>
      </c>
      <c r="BN5">
        <v>3</v>
      </c>
      <c r="BO5">
        <v>4</v>
      </c>
      <c r="BP5">
        <v>3</v>
      </c>
      <c r="BQ5">
        <v>4</v>
      </c>
      <c r="BR5">
        <v>3</v>
      </c>
      <c r="BS5">
        <v>4</v>
      </c>
      <c r="BT5" t="s">
        <v>120</v>
      </c>
      <c r="BU5">
        <v>448.88</v>
      </c>
      <c r="BV5">
        <v>111.5</v>
      </c>
      <c r="CI5">
        <v>337.38</v>
      </c>
    </row>
    <row r="6" spans="1:91" x14ac:dyDescent="0.35">
      <c r="A6">
        <v>7</v>
      </c>
      <c r="B6" t="s">
        <v>121</v>
      </c>
      <c r="C6">
        <v>2</v>
      </c>
      <c r="D6" t="s">
        <v>92</v>
      </c>
      <c r="E6">
        <v>1422297095</v>
      </c>
      <c r="F6" t="s">
        <v>122</v>
      </c>
      <c r="G6" t="s">
        <v>121</v>
      </c>
      <c r="H6" t="s">
        <v>94</v>
      </c>
      <c r="I6" t="s">
        <v>95</v>
      </c>
      <c r="J6" t="s">
        <v>94</v>
      </c>
      <c r="K6" t="s">
        <v>95</v>
      </c>
      <c r="L6" t="s">
        <v>95</v>
      </c>
      <c r="M6" t="s">
        <v>95</v>
      </c>
      <c r="O6" t="s">
        <v>95</v>
      </c>
      <c r="P6" t="s">
        <v>123</v>
      </c>
      <c r="Q6" t="s">
        <v>124</v>
      </c>
      <c r="S6" t="s">
        <v>94</v>
      </c>
      <c r="T6" t="s">
        <v>94</v>
      </c>
      <c r="U6" t="s">
        <v>95</v>
      </c>
      <c r="V6" t="s">
        <v>94</v>
      </c>
      <c r="W6" t="s">
        <v>94</v>
      </c>
      <c r="X6" t="s">
        <v>94</v>
      </c>
      <c r="Y6" t="s">
        <v>94</v>
      </c>
      <c r="AM6" t="s">
        <v>125</v>
      </c>
      <c r="AN6" t="s">
        <v>98</v>
      </c>
      <c r="AO6">
        <v>2</v>
      </c>
      <c r="AP6">
        <v>2</v>
      </c>
      <c r="AQ6">
        <v>3</v>
      </c>
      <c r="AR6">
        <v>4</v>
      </c>
      <c r="AS6">
        <v>4</v>
      </c>
      <c r="AT6">
        <v>2</v>
      </c>
      <c r="AU6">
        <v>3</v>
      </c>
      <c r="AV6" t="s">
        <v>100</v>
      </c>
      <c r="AW6">
        <v>2</v>
      </c>
      <c r="AX6" t="s">
        <v>100</v>
      </c>
      <c r="AY6" t="s">
        <v>100</v>
      </c>
      <c r="AZ6" t="s">
        <v>100</v>
      </c>
      <c r="BA6">
        <v>4</v>
      </c>
      <c r="BB6" t="s">
        <v>100</v>
      </c>
      <c r="BC6">
        <v>3</v>
      </c>
      <c r="BD6">
        <v>4</v>
      </c>
      <c r="BE6">
        <v>4</v>
      </c>
      <c r="BF6">
        <v>3</v>
      </c>
      <c r="BG6">
        <v>4</v>
      </c>
      <c r="BH6">
        <v>4</v>
      </c>
      <c r="BI6">
        <v>4</v>
      </c>
      <c r="BJ6">
        <v>4</v>
      </c>
      <c r="BK6">
        <v>2</v>
      </c>
      <c r="BL6">
        <v>2</v>
      </c>
      <c r="BM6">
        <v>4</v>
      </c>
      <c r="BN6">
        <v>3</v>
      </c>
      <c r="BO6">
        <v>3</v>
      </c>
      <c r="BP6">
        <v>2</v>
      </c>
      <c r="BQ6">
        <v>2</v>
      </c>
      <c r="BR6">
        <v>2</v>
      </c>
      <c r="BS6">
        <v>3</v>
      </c>
      <c r="BU6">
        <v>232.23</v>
      </c>
      <c r="BV6">
        <v>135.36000000000001</v>
      </c>
      <c r="CI6">
        <v>96.87</v>
      </c>
    </row>
    <row r="7" spans="1:91" x14ac:dyDescent="0.35">
      <c r="A7">
        <v>9</v>
      </c>
      <c r="B7" t="s">
        <v>126</v>
      </c>
      <c r="C7">
        <v>2</v>
      </c>
      <c r="D7" t="s">
        <v>92</v>
      </c>
      <c r="E7">
        <v>1592236090</v>
      </c>
      <c r="F7" t="s">
        <v>127</v>
      </c>
      <c r="G7" t="s">
        <v>126</v>
      </c>
      <c r="H7" t="s">
        <v>94</v>
      </c>
      <c r="I7" t="s">
        <v>95</v>
      </c>
      <c r="J7" t="s">
        <v>95</v>
      </c>
      <c r="K7" t="s">
        <v>95</v>
      </c>
      <c r="L7" t="s">
        <v>95</v>
      </c>
      <c r="M7" t="s">
        <v>95</v>
      </c>
      <c r="O7" t="s">
        <v>95</v>
      </c>
      <c r="P7" t="s">
        <v>128</v>
      </c>
      <c r="Q7" t="s">
        <v>124</v>
      </c>
      <c r="S7" t="s">
        <v>95</v>
      </c>
      <c r="T7" t="s">
        <v>94</v>
      </c>
      <c r="U7" t="s">
        <v>95</v>
      </c>
      <c r="V7" t="s">
        <v>95</v>
      </c>
      <c r="W7" t="s">
        <v>94</v>
      </c>
      <c r="X7" t="s">
        <v>94</v>
      </c>
      <c r="Y7" t="s">
        <v>95</v>
      </c>
      <c r="AN7" t="s">
        <v>118</v>
      </c>
      <c r="AO7">
        <v>3</v>
      </c>
      <c r="AP7">
        <v>4</v>
      </c>
      <c r="AQ7">
        <v>4</v>
      </c>
      <c r="AR7" t="s">
        <v>119</v>
      </c>
      <c r="AS7">
        <v>4</v>
      </c>
      <c r="AT7">
        <v>4</v>
      </c>
      <c r="AU7">
        <v>2</v>
      </c>
      <c r="AV7">
        <v>2</v>
      </c>
      <c r="AW7">
        <v>4</v>
      </c>
      <c r="AX7">
        <v>4</v>
      </c>
      <c r="AY7">
        <v>3</v>
      </c>
      <c r="AZ7">
        <v>3</v>
      </c>
      <c r="BA7">
        <v>4</v>
      </c>
      <c r="BB7">
        <v>4</v>
      </c>
      <c r="BC7">
        <v>3</v>
      </c>
      <c r="BD7">
        <v>4</v>
      </c>
      <c r="BE7">
        <v>4</v>
      </c>
      <c r="BF7">
        <v>4</v>
      </c>
      <c r="BG7">
        <v>3</v>
      </c>
      <c r="BH7">
        <v>4</v>
      </c>
      <c r="BI7">
        <v>3</v>
      </c>
      <c r="BJ7">
        <v>4</v>
      </c>
      <c r="BK7">
        <v>2</v>
      </c>
      <c r="BL7">
        <v>2</v>
      </c>
      <c r="BM7">
        <v>3</v>
      </c>
      <c r="BN7">
        <v>3</v>
      </c>
      <c r="BO7">
        <v>4</v>
      </c>
      <c r="BP7">
        <v>4</v>
      </c>
      <c r="BQ7">
        <v>2</v>
      </c>
      <c r="BR7">
        <v>3</v>
      </c>
      <c r="BS7">
        <v>3</v>
      </c>
      <c r="BU7">
        <v>213.32</v>
      </c>
      <c r="BV7">
        <v>102.1</v>
      </c>
      <c r="CI7">
        <v>111.22</v>
      </c>
    </row>
    <row r="8" spans="1:91" x14ac:dyDescent="0.35">
      <c r="A8">
        <v>10</v>
      </c>
      <c r="B8" t="s">
        <v>129</v>
      </c>
      <c r="C8">
        <v>2</v>
      </c>
      <c r="D8" t="s">
        <v>92</v>
      </c>
      <c r="E8">
        <v>1795938739</v>
      </c>
      <c r="F8" t="s">
        <v>130</v>
      </c>
      <c r="G8" t="s">
        <v>129</v>
      </c>
      <c r="H8" t="s">
        <v>94</v>
      </c>
      <c r="I8" t="s">
        <v>95</v>
      </c>
      <c r="J8" t="s">
        <v>95</v>
      </c>
      <c r="K8" t="s">
        <v>95</v>
      </c>
      <c r="L8" t="s">
        <v>95</v>
      </c>
      <c r="M8" t="s">
        <v>94</v>
      </c>
      <c r="O8" t="s">
        <v>94</v>
      </c>
      <c r="Q8" t="s">
        <v>110</v>
      </c>
      <c r="R8" t="s">
        <v>94</v>
      </c>
      <c r="S8" t="s">
        <v>95</v>
      </c>
      <c r="T8" t="s">
        <v>95</v>
      </c>
      <c r="U8" t="s">
        <v>94</v>
      </c>
      <c r="V8" t="s">
        <v>94</v>
      </c>
      <c r="W8" t="s">
        <v>94</v>
      </c>
      <c r="X8" t="s">
        <v>95</v>
      </c>
      <c r="Y8" t="s">
        <v>95</v>
      </c>
      <c r="AG8" t="s">
        <v>111</v>
      </c>
      <c r="AH8" t="s">
        <v>112</v>
      </c>
      <c r="AI8" t="s">
        <v>112</v>
      </c>
      <c r="AJ8" t="s">
        <v>112</v>
      </c>
      <c r="AK8" t="s">
        <v>112</v>
      </c>
      <c r="AL8" t="s">
        <v>112</v>
      </c>
      <c r="AN8" t="s">
        <v>131</v>
      </c>
      <c r="AO8">
        <v>3</v>
      </c>
      <c r="AP8">
        <v>4</v>
      </c>
      <c r="AQ8">
        <v>4</v>
      </c>
      <c r="AR8" t="s">
        <v>119</v>
      </c>
      <c r="AS8">
        <v>4</v>
      </c>
      <c r="AT8">
        <v>4</v>
      </c>
      <c r="AU8">
        <v>3</v>
      </c>
      <c r="AV8">
        <v>3</v>
      </c>
      <c r="AW8">
        <v>4</v>
      </c>
      <c r="AX8">
        <v>4</v>
      </c>
      <c r="AY8">
        <v>4</v>
      </c>
      <c r="AZ8">
        <v>4</v>
      </c>
      <c r="BA8">
        <v>4</v>
      </c>
      <c r="BB8" t="s">
        <v>101</v>
      </c>
      <c r="BC8" t="s">
        <v>101</v>
      </c>
      <c r="BD8">
        <v>4</v>
      </c>
      <c r="BE8">
        <v>3</v>
      </c>
      <c r="BF8">
        <v>4</v>
      </c>
      <c r="BG8">
        <v>3</v>
      </c>
      <c r="BH8" t="s">
        <v>101</v>
      </c>
      <c r="BI8">
        <v>4</v>
      </c>
      <c r="BJ8" t="s">
        <v>101</v>
      </c>
      <c r="BK8">
        <v>4</v>
      </c>
      <c r="BL8">
        <v>4</v>
      </c>
      <c r="BM8" t="s">
        <v>113</v>
      </c>
      <c r="BN8" t="s">
        <v>113</v>
      </c>
      <c r="BO8" t="s">
        <v>113</v>
      </c>
      <c r="BP8" t="s">
        <v>113</v>
      </c>
      <c r="BQ8" t="s">
        <v>113</v>
      </c>
      <c r="BR8" t="s">
        <v>113</v>
      </c>
      <c r="BS8" t="s">
        <v>113</v>
      </c>
      <c r="BU8">
        <v>189.24</v>
      </c>
      <c r="BV8">
        <v>91.08</v>
      </c>
      <c r="CI8">
        <v>98.16</v>
      </c>
    </row>
    <row r="9" spans="1:91" x14ac:dyDescent="0.35">
      <c r="A9">
        <v>12</v>
      </c>
      <c r="B9" t="s">
        <v>132</v>
      </c>
      <c r="C9">
        <v>2</v>
      </c>
      <c r="D9" t="s">
        <v>92</v>
      </c>
      <c r="E9">
        <v>376572839</v>
      </c>
      <c r="F9" t="s">
        <v>133</v>
      </c>
      <c r="G9" t="s">
        <v>132</v>
      </c>
      <c r="H9" t="s">
        <v>94</v>
      </c>
      <c r="I9" t="s">
        <v>95</v>
      </c>
      <c r="J9" t="s">
        <v>94</v>
      </c>
      <c r="K9" t="s">
        <v>95</v>
      </c>
      <c r="L9" t="s">
        <v>95</v>
      </c>
      <c r="M9" t="s">
        <v>95</v>
      </c>
      <c r="O9" t="s">
        <v>95</v>
      </c>
      <c r="P9" t="s">
        <v>134</v>
      </c>
      <c r="Q9" t="s">
        <v>110</v>
      </c>
      <c r="S9" t="s">
        <v>95</v>
      </c>
      <c r="T9" t="s">
        <v>94</v>
      </c>
      <c r="U9" t="s">
        <v>95</v>
      </c>
      <c r="V9" t="s">
        <v>94</v>
      </c>
      <c r="W9" t="s">
        <v>94</v>
      </c>
      <c r="X9" t="s">
        <v>94</v>
      </c>
      <c r="Y9" t="s">
        <v>95</v>
      </c>
      <c r="AM9" t="s">
        <v>135</v>
      </c>
      <c r="AN9" t="s">
        <v>98</v>
      </c>
      <c r="AO9">
        <v>2</v>
      </c>
      <c r="AP9">
        <v>3</v>
      </c>
      <c r="AQ9">
        <v>4</v>
      </c>
      <c r="AR9" t="s">
        <v>119</v>
      </c>
      <c r="AS9">
        <v>4</v>
      </c>
      <c r="AT9">
        <v>4</v>
      </c>
      <c r="AU9">
        <v>3</v>
      </c>
      <c r="AV9">
        <v>3</v>
      </c>
      <c r="AW9">
        <v>4</v>
      </c>
      <c r="AX9">
        <v>4</v>
      </c>
      <c r="AY9">
        <v>4</v>
      </c>
      <c r="AZ9">
        <v>4</v>
      </c>
      <c r="BA9">
        <v>4</v>
      </c>
      <c r="BB9">
        <v>4</v>
      </c>
      <c r="BC9">
        <v>4</v>
      </c>
      <c r="BD9">
        <v>4</v>
      </c>
      <c r="BE9" t="s">
        <v>101</v>
      </c>
      <c r="BF9">
        <v>4</v>
      </c>
      <c r="BG9">
        <v>4</v>
      </c>
      <c r="BH9" t="s">
        <v>101</v>
      </c>
      <c r="BI9">
        <v>4</v>
      </c>
      <c r="BJ9" t="s">
        <v>101</v>
      </c>
      <c r="BK9">
        <v>3</v>
      </c>
      <c r="BL9">
        <v>3</v>
      </c>
      <c r="BM9">
        <v>3</v>
      </c>
      <c r="BN9">
        <v>4</v>
      </c>
      <c r="BO9">
        <v>4</v>
      </c>
      <c r="BP9" t="s">
        <v>113</v>
      </c>
      <c r="BQ9">
        <v>4</v>
      </c>
      <c r="BR9">
        <v>3</v>
      </c>
      <c r="BS9">
        <v>4</v>
      </c>
      <c r="BU9">
        <v>11478.4</v>
      </c>
      <c r="BV9">
        <v>11377</v>
      </c>
      <c r="CI9">
        <v>101.35</v>
      </c>
    </row>
    <row r="10" spans="1:91" x14ac:dyDescent="0.35">
      <c r="A10">
        <v>14</v>
      </c>
      <c r="B10" t="s">
        <v>136</v>
      </c>
      <c r="C10">
        <v>2</v>
      </c>
      <c r="D10" t="s">
        <v>92</v>
      </c>
      <c r="E10">
        <v>1204442778</v>
      </c>
      <c r="F10" t="s">
        <v>137</v>
      </c>
      <c r="G10" t="s">
        <v>136</v>
      </c>
      <c r="H10" t="s">
        <v>94</v>
      </c>
      <c r="I10" t="s">
        <v>95</v>
      </c>
      <c r="J10" t="s">
        <v>95</v>
      </c>
      <c r="K10" t="s">
        <v>95</v>
      </c>
      <c r="L10" t="s">
        <v>94</v>
      </c>
      <c r="M10" t="s">
        <v>94</v>
      </c>
      <c r="O10" t="s">
        <v>94</v>
      </c>
      <c r="Q10" t="s">
        <v>110</v>
      </c>
      <c r="R10" t="s">
        <v>116</v>
      </c>
      <c r="S10" t="s">
        <v>94</v>
      </c>
      <c r="T10" t="s">
        <v>94</v>
      </c>
      <c r="U10" t="s">
        <v>95</v>
      </c>
      <c r="V10" t="s">
        <v>95</v>
      </c>
      <c r="W10" t="s">
        <v>94</v>
      </c>
      <c r="X10" t="s">
        <v>95</v>
      </c>
      <c r="Y10" t="s">
        <v>95</v>
      </c>
      <c r="AG10" t="s">
        <v>111</v>
      </c>
      <c r="AH10" t="s">
        <v>111</v>
      </c>
      <c r="AI10" t="s">
        <v>112</v>
      </c>
      <c r="AJ10" t="s">
        <v>112</v>
      </c>
      <c r="AK10" t="s">
        <v>112</v>
      </c>
      <c r="AL10">
        <v>4</v>
      </c>
      <c r="AN10" t="s">
        <v>131</v>
      </c>
      <c r="AO10">
        <v>2</v>
      </c>
      <c r="AP10">
        <v>3</v>
      </c>
      <c r="AQ10">
        <v>4</v>
      </c>
      <c r="AR10" t="s">
        <v>119</v>
      </c>
      <c r="AS10">
        <v>4</v>
      </c>
      <c r="AT10">
        <v>4</v>
      </c>
      <c r="AU10">
        <v>3</v>
      </c>
      <c r="AV10">
        <v>2</v>
      </c>
      <c r="AW10">
        <v>3</v>
      </c>
      <c r="AX10">
        <v>4</v>
      </c>
      <c r="AY10">
        <v>2</v>
      </c>
      <c r="AZ10">
        <v>2</v>
      </c>
      <c r="BA10">
        <v>2</v>
      </c>
      <c r="BB10">
        <v>2</v>
      </c>
      <c r="BC10">
        <v>4</v>
      </c>
      <c r="BD10">
        <v>4</v>
      </c>
      <c r="BE10" t="s">
        <v>101</v>
      </c>
      <c r="BF10">
        <v>4</v>
      </c>
      <c r="BG10">
        <v>3</v>
      </c>
      <c r="BH10">
        <v>4</v>
      </c>
      <c r="BI10">
        <v>3</v>
      </c>
      <c r="BJ10">
        <v>3</v>
      </c>
      <c r="BK10">
        <v>3</v>
      </c>
      <c r="BL10">
        <v>3</v>
      </c>
      <c r="BM10" t="s">
        <v>113</v>
      </c>
      <c r="BN10" t="s">
        <v>113</v>
      </c>
      <c r="BO10">
        <v>4</v>
      </c>
      <c r="BP10">
        <v>4</v>
      </c>
      <c r="BQ10">
        <v>3</v>
      </c>
      <c r="BR10">
        <v>4</v>
      </c>
      <c r="BS10" t="s">
        <v>113</v>
      </c>
      <c r="BU10">
        <v>187.09</v>
      </c>
      <c r="BV10">
        <v>85.21</v>
      </c>
      <c r="CI10">
        <v>101.88</v>
      </c>
    </row>
    <row r="11" spans="1:91" x14ac:dyDescent="0.35">
      <c r="A11">
        <v>15</v>
      </c>
      <c r="B11" t="s">
        <v>138</v>
      </c>
      <c r="C11">
        <v>2</v>
      </c>
      <c r="D11" t="s">
        <v>92</v>
      </c>
      <c r="E11">
        <v>408338227</v>
      </c>
      <c r="F11" t="s">
        <v>139</v>
      </c>
      <c r="G11" t="s">
        <v>138</v>
      </c>
      <c r="H11" t="s">
        <v>95</v>
      </c>
      <c r="I11" t="s">
        <v>95</v>
      </c>
      <c r="J11" t="s">
        <v>95</v>
      </c>
      <c r="K11" t="s">
        <v>95</v>
      </c>
      <c r="L11" t="s">
        <v>94</v>
      </c>
      <c r="M11" t="s">
        <v>95</v>
      </c>
      <c r="O11" t="s">
        <v>94</v>
      </c>
      <c r="Q11" t="s">
        <v>97</v>
      </c>
      <c r="R11" t="s">
        <v>116</v>
      </c>
      <c r="S11" t="s">
        <v>95</v>
      </c>
      <c r="T11" t="s">
        <v>95</v>
      </c>
      <c r="U11" t="s">
        <v>95</v>
      </c>
      <c r="V11" t="s">
        <v>95</v>
      </c>
      <c r="W11" t="s">
        <v>94</v>
      </c>
      <c r="X11" t="s">
        <v>95</v>
      </c>
      <c r="Y11" t="s">
        <v>95</v>
      </c>
      <c r="AG11">
        <v>4</v>
      </c>
      <c r="AH11">
        <v>4</v>
      </c>
      <c r="AI11" t="s">
        <v>111</v>
      </c>
      <c r="AJ11" t="s">
        <v>111</v>
      </c>
      <c r="AK11">
        <v>4</v>
      </c>
      <c r="AL11">
        <v>4</v>
      </c>
      <c r="AN11" t="s">
        <v>131</v>
      </c>
      <c r="AO11">
        <v>3</v>
      </c>
      <c r="AP11">
        <v>2</v>
      </c>
      <c r="AQ11">
        <v>4</v>
      </c>
      <c r="AR11" t="s">
        <v>119</v>
      </c>
      <c r="AS11">
        <v>3</v>
      </c>
      <c r="AT11">
        <v>3</v>
      </c>
      <c r="AU11">
        <v>4</v>
      </c>
      <c r="AV11">
        <v>4</v>
      </c>
      <c r="AW11">
        <v>3</v>
      </c>
      <c r="AX11">
        <v>3</v>
      </c>
      <c r="AY11">
        <v>2</v>
      </c>
      <c r="AZ11">
        <v>3</v>
      </c>
      <c r="BA11">
        <v>3</v>
      </c>
      <c r="BB11">
        <v>3</v>
      </c>
      <c r="BC11">
        <v>3</v>
      </c>
      <c r="BD11">
        <v>3</v>
      </c>
      <c r="BE11">
        <v>4</v>
      </c>
      <c r="BF11">
        <v>4</v>
      </c>
      <c r="BG11">
        <v>4</v>
      </c>
      <c r="BH11">
        <v>4</v>
      </c>
      <c r="BI11">
        <v>4</v>
      </c>
      <c r="BJ11" t="s">
        <v>101</v>
      </c>
      <c r="BK11">
        <v>3</v>
      </c>
      <c r="BL11">
        <v>3</v>
      </c>
      <c r="BM11">
        <v>4</v>
      </c>
      <c r="BN11">
        <v>4</v>
      </c>
      <c r="BO11">
        <v>4</v>
      </c>
      <c r="BP11">
        <v>4</v>
      </c>
      <c r="BQ11">
        <v>3</v>
      </c>
      <c r="BR11">
        <v>4</v>
      </c>
      <c r="BS11">
        <v>4</v>
      </c>
      <c r="BU11">
        <v>183.01</v>
      </c>
      <c r="BV11">
        <v>72.819999999999993</v>
      </c>
      <c r="CI11">
        <v>110.19</v>
      </c>
    </row>
    <row r="12" spans="1:91" x14ac:dyDescent="0.35">
      <c r="A12">
        <v>16</v>
      </c>
      <c r="B12" t="s">
        <v>140</v>
      </c>
      <c r="C12">
        <v>2</v>
      </c>
      <c r="D12" t="s">
        <v>92</v>
      </c>
      <c r="E12">
        <v>2072702634</v>
      </c>
      <c r="F12" t="s">
        <v>141</v>
      </c>
      <c r="G12" t="s">
        <v>140</v>
      </c>
      <c r="H12" t="s">
        <v>94</v>
      </c>
      <c r="I12" t="s">
        <v>95</v>
      </c>
      <c r="J12" t="s">
        <v>95</v>
      </c>
      <c r="K12" t="s">
        <v>95</v>
      </c>
      <c r="L12" t="s">
        <v>94</v>
      </c>
      <c r="M12" t="s">
        <v>95</v>
      </c>
      <c r="O12" t="s">
        <v>94</v>
      </c>
      <c r="Q12" t="s">
        <v>142</v>
      </c>
      <c r="R12" t="s">
        <v>116</v>
      </c>
      <c r="S12" t="s">
        <v>94</v>
      </c>
      <c r="T12" t="s">
        <v>95</v>
      </c>
      <c r="U12" t="s">
        <v>95</v>
      </c>
      <c r="V12" t="s">
        <v>95</v>
      </c>
      <c r="W12" t="s">
        <v>94</v>
      </c>
      <c r="X12" t="s">
        <v>94</v>
      </c>
      <c r="Y12" t="s">
        <v>94</v>
      </c>
      <c r="AG12" t="s">
        <v>111</v>
      </c>
      <c r="AH12">
        <v>3</v>
      </c>
      <c r="AI12">
        <v>3</v>
      </c>
      <c r="AJ12">
        <v>3</v>
      </c>
      <c r="AK12">
        <v>3</v>
      </c>
      <c r="AL12" t="s">
        <v>112</v>
      </c>
      <c r="AM12" t="s">
        <v>143</v>
      </c>
      <c r="AN12" t="s">
        <v>98</v>
      </c>
      <c r="AO12">
        <v>2</v>
      </c>
      <c r="AP12">
        <v>2</v>
      </c>
      <c r="AQ12">
        <v>3</v>
      </c>
      <c r="AR12">
        <v>4</v>
      </c>
      <c r="AS12" t="s">
        <v>101</v>
      </c>
      <c r="AT12" t="s">
        <v>101</v>
      </c>
      <c r="AU12" t="s">
        <v>101</v>
      </c>
      <c r="AV12" t="s">
        <v>101</v>
      </c>
      <c r="AW12">
        <v>3</v>
      </c>
      <c r="AX12">
        <v>3</v>
      </c>
      <c r="AY12">
        <v>4</v>
      </c>
      <c r="AZ12" t="s">
        <v>101</v>
      </c>
      <c r="BA12">
        <v>3</v>
      </c>
      <c r="BB12">
        <v>4</v>
      </c>
      <c r="BC12">
        <v>4</v>
      </c>
      <c r="BD12" t="s">
        <v>101</v>
      </c>
      <c r="BE12" t="s">
        <v>101</v>
      </c>
      <c r="BF12" t="s">
        <v>101</v>
      </c>
      <c r="BG12">
        <v>4</v>
      </c>
      <c r="BH12" t="s">
        <v>101</v>
      </c>
      <c r="BI12" t="s">
        <v>101</v>
      </c>
      <c r="BJ12" t="s">
        <v>101</v>
      </c>
      <c r="BK12" t="s">
        <v>101</v>
      </c>
      <c r="BL12" t="s">
        <v>101</v>
      </c>
      <c r="BM12">
        <v>3</v>
      </c>
      <c r="BN12">
        <v>3</v>
      </c>
      <c r="BO12">
        <v>3</v>
      </c>
      <c r="BP12" t="s">
        <v>113</v>
      </c>
      <c r="BQ12" t="s">
        <v>113</v>
      </c>
      <c r="BR12">
        <v>3</v>
      </c>
      <c r="BS12" t="s">
        <v>113</v>
      </c>
      <c r="BU12">
        <v>374.6</v>
      </c>
      <c r="BV12">
        <v>224.63</v>
      </c>
      <c r="CI12">
        <v>149.97</v>
      </c>
    </row>
    <row r="13" spans="1:91" x14ac:dyDescent="0.35">
      <c r="A13">
        <v>18</v>
      </c>
      <c r="B13" t="s">
        <v>144</v>
      </c>
      <c r="C13">
        <v>2</v>
      </c>
      <c r="D13" t="s">
        <v>92</v>
      </c>
      <c r="E13">
        <v>129337539</v>
      </c>
      <c r="F13" t="s">
        <v>145</v>
      </c>
      <c r="G13" t="s">
        <v>144</v>
      </c>
      <c r="H13" t="s">
        <v>94</v>
      </c>
      <c r="I13" t="s">
        <v>95</v>
      </c>
      <c r="J13" t="s">
        <v>94</v>
      </c>
      <c r="K13" t="s">
        <v>95</v>
      </c>
      <c r="L13" t="s">
        <v>94</v>
      </c>
      <c r="M13" t="s">
        <v>94</v>
      </c>
      <c r="O13" t="s">
        <v>94</v>
      </c>
      <c r="Q13" t="s">
        <v>110</v>
      </c>
      <c r="R13" t="s">
        <v>94</v>
      </c>
      <c r="S13" t="s">
        <v>94</v>
      </c>
      <c r="T13" t="s">
        <v>94</v>
      </c>
      <c r="U13" t="s">
        <v>94</v>
      </c>
      <c r="V13" t="s">
        <v>94</v>
      </c>
      <c r="W13" t="s">
        <v>94</v>
      </c>
      <c r="X13" t="s">
        <v>95</v>
      </c>
      <c r="Y13" t="s">
        <v>95</v>
      </c>
      <c r="AG13">
        <v>4</v>
      </c>
      <c r="AH13">
        <v>4</v>
      </c>
      <c r="AI13">
        <v>4</v>
      </c>
      <c r="AJ13">
        <v>4</v>
      </c>
      <c r="AK13" t="s">
        <v>112</v>
      </c>
      <c r="AL13" t="s">
        <v>112</v>
      </c>
      <c r="AN13" t="s">
        <v>131</v>
      </c>
      <c r="AO13" t="s">
        <v>99</v>
      </c>
      <c r="AP13">
        <v>3</v>
      </c>
      <c r="AQ13">
        <v>3</v>
      </c>
      <c r="AR13">
        <v>4</v>
      </c>
      <c r="AS13">
        <v>4</v>
      </c>
      <c r="AT13">
        <v>3</v>
      </c>
      <c r="AU13">
        <v>3</v>
      </c>
      <c r="AV13">
        <v>3</v>
      </c>
      <c r="AW13">
        <v>3</v>
      </c>
      <c r="AX13">
        <v>4</v>
      </c>
      <c r="AY13">
        <v>2</v>
      </c>
      <c r="AZ13">
        <v>2</v>
      </c>
      <c r="BA13">
        <v>3</v>
      </c>
      <c r="BB13">
        <v>3</v>
      </c>
      <c r="BC13">
        <v>4</v>
      </c>
      <c r="BD13">
        <v>4</v>
      </c>
      <c r="BE13">
        <v>4</v>
      </c>
      <c r="BF13">
        <v>4</v>
      </c>
      <c r="BG13">
        <v>3</v>
      </c>
      <c r="BH13">
        <v>4</v>
      </c>
      <c r="BI13">
        <v>3</v>
      </c>
      <c r="BJ13">
        <v>3</v>
      </c>
      <c r="BK13">
        <v>3</v>
      </c>
      <c r="BL13">
        <v>4</v>
      </c>
      <c r="BM13">
        <v>3</v>
      </c>
      <c r="BN13">
        <v>4</v>
      </c>
      <c r="BO13">
        <v>3</v>
      </c>
      <c r="BP13">
        <v>4</v>
      </c>
      <c r="BQ13">
        <v>4</v>
      </c>
      <c r="BR13">
        <v>3</v>
      </c>
      <c r="BS13">
        <v>4</v>
      </c>
      <c r="BU13">
        <v>209.18</v>
      </c>
      <c r="BV13">
        <v>92.46</v>
      </c>
      <c r="CI13">
        <v>116.72</v>
      </c>
    </row>
    <row r="14" spans="1:91" x14ac:dyDescent="0.35">
      <c r="A14">
        <v>20</v>
      </c>
      <c r="B14" t="s">
        <v>146</v>
      </c>
      <c r="C14">
        <v>2</v>
      </c>
      <c r="D14" t="s">
        <v>92</v>
      </c>
      <c r="E14">
        <v>1715145881</v>
      </c>
      <c r="F14" t="s">
        <v>147</v>
      </c>
      <c r="G14" t="s">
        <v>146</v>
      </c>
      <c r="H14" t="s">
        <v>94</v>
      </c>
      <c r="I14" t="s">
        <v>95</v>
      </c>
      <c r="J14" t="s">
        <v>95</v>
      </c>
      <c r="K14" t="s">
        <v>95</v>
      </c>
      <c r="L14" t="s">
        <v>95</v>
      </c>
      <c r="M14" t="s">
        <v>94</v>
      </c>
      <c r="O14" t="s">
        <v>95</v>
      </c>
      <c r="P14" t="s">
        <v>148</v>
      </c>
      <c r="Q14" t="s">
        <v>124</v>
      </c>
      <c r="S14" t="s">
        <v>95</v>
      </c>
      <c r="T14" t="s">
        <v>94</v>
      </c>
      <c r="U14" t="s">
        <v>95</v>
      </c>
      <c r="V14" t="s">
        <v>95</v>
      </c>
      <c r="W14" t="s">
        <v>94</v>
      </c>
      <c r="X14" t="s">
        <v>95</v>
      </c>
      <c r="Y14" t="s">
        <v>95</v>
      </c>
      <c r="AM14" t="s">
        <v>149</v>
      </c>
      <c r="AN14" t="s">
        <v>98</v>
      </c>
      <c r="AO14">
        <v>4</v>
      </c>
      <c r="AP14">
        <v>3</v>
      </c>
      <c r="AQ14" t="s">
        <v>119</v>
      </c>
      <c r="AR14" t="s">
        <v>119</v>
      </c>
      <c r="AS14" t="s">
        <v>101</v>
      </c>
      <c r="AT14">
        <v>2</v>
      </c>
      <c r="AU14" t="s">
        <v>101</v>
      </c>
      <c r="AV14" t="s">
        <v>101</v>
      </c>
      <c r="AW14">
        <v>3</v>
      </c>
      <c r="AX14" t="s">
        <v>101</v>
      </c>
      <c r="AY14">
        <v>4</v>
      </c>
      <c r="AZ14">
        <v>2</v>
      </c>
      <c r="BA14" t="s">
        <v>101</v>
      </c>
      <c r="BB14" t="s">
        <v>101</v>
      </c>
      <c r="BC14" t="s">
        <v>101</v>
      </c>
      <c r="BD14" t="s">
        <v>101</v>
      </c>
      <c r="BE14">
        <v>4</v>
      </c>
      <c r="BF14" t="s">
        <v>101</v>
      </c>
      <c r="BG14" t="s">
        <v>101</v>
      </c>
      <c r="BH14" t="s">
        <v>101</v>
      </c>
      <c r="BI14" t="s">
        <v>101</v>
      </c>
      <c r="BJ14" t="s">
        <v>101</v>
      </c>
      <c r="BK14">
        <v>3</v>
      </c>
      <c r="BL14" t="s">
        <v>101</v>
      </c>
      <c r="BM14">
        <v>3</v>
      </c>
      <c r="BN14" t="s">
        <v>113</v>
      </c>
      <c r="BO14" t="s">
        <v>113</v>
      </c>
      <c r="BP14" t="s">
        <v>113</v>
      </c>
      <c r="BQ14" t="s">
        <v>113</v>
      </c>
      <c r="BR14" t="s">
        <v>113</v>
      </c>
      <c r="BS14" t="s">
        <v>113</v>
      </c>
      <c r="BT14" t="s">
        <v>150</v>
      </c>
      <c r="BU14">
        <v>3296.75</v>
      </c>
      <c r="BV14">
        <v>2661.33</v>
      </c>
      <c r="CI14">
        <v>635.41999999999996</v>
      </c>
    </row>
    <row r="15" spans="1:91" x14ac:dyDescent="0.35">
      <c r="A15">
        <v>21</v>
      </c>
      <c r="B15" t="s">
        <v>151</v>
      </c>
      <c r="C15">
        <v>2</v>
      </c>
      <c r="D15" t="s">
        <v>92</v>
      </c>
      <c r="E15">
        <v>1762458084</v>
      </c>
      <c r="F15" t="s">
        <v>152</v>
      </c>
      <c r="G15" t="s">
        <v>151</v>
      </c>
      <c r="H15" t="s">
        <v>94</v>
      </c>
      <c r="I15" t="s">
        <v>95</v>
      </c>
      <c r="J15" t="s">
        <v>94</v>
      </c>
      <c r="K15" t="s">
        <v>95</v>
      </c>
      <c r="L15" t="s">
        <v>95</v>
      </c>
      <c r="M15" t="s">
        <v>94</v>
      </c>
      <c r="O15" t="s">
        <v>94</v>
      </c>
      <c r="Q15" t="s">
        <v>110</v>
      </c>
      <c r="R15" t="s">
        <v>116</v>
      </c>
      <c r="S15" t="s">
        <v>94</v>
      </c>
      <c r="T15" t="s">
        <v>94</v>
      </c>
      <c r="U15" t="s">
        <v>95</v>
      </c>
      <c r="V15" t="s">
        <v>95</v>
      </c>
      <c r="W15" t="s">
        <v>94</v>
      </c>
      <c r="X15" t="s">
        <v>94</v>
      </c>
      <c r="Y15" t="s">
        <v>94</v>
      </c>
      <c r="AG15">
        <v>4</v>
      </c>
      <c r="AH15" t="s">
        <v>112</v>
      </c>
      <c r="AI15" t="s">
        <v>112</v>
      </c>
      <c r="AJ15" t="s">
        <v>112</v>
      </c>
      <c r="AK15" t="s">
        <v>112</v>
      </c>
      <c r="AL15">
        <v>3</v>
      </c>
      <c r="AN15" t="s">
        <v>118</v>
      </c>
      <c r="AO15">
        <v>4</v>
      </c>
      <c r="AP15">
        <v>3</v>
      </c>
      <c r="AQ15">
        <v>4</v>
      </c>
      <c r="AR15" t="s">
        <v>119</v>
      </c>
      <c r="AS15">
        <v>4</v>
      </c>
      <c r="AT15" t="s">
        <v>101</v>
      </c>
      <c r="AU15">
        <v>3</v>
      </c>
      <c r="AV15">
        <v>4</v>
      </c>
      <c r="AW15">
        <v>3</v>
      </c>
      <c r="AX15">
        <v>3</v>
      </c>
      <c r="AY15">
        <v>2</v>
      </c>
      <c r="AZ15" t="s">
        <v>100</v>
      </c>
      <c r="BA15">
        <v>3</v>
      </c>
      <c r="BB15">
        <v>4</v>
      </c>
      <c r="BC15">
        <v>3</v>
      </c>
      <c r="BD15">
        <v>4</v>
      </c>
      <c r="BE15">
        <v>4</v>
      </c>
      <c r="BF15">
        <v>4</v>
      </c>
      <c r="BG15">
        <v>3</v>
      </c>
      <c r="BH15">
        <v>3</v>
      </c>
      <c r="BI15">
        <v>3</v>
      </c>
      <c r="BJ15">
        <v>3</v>
      </c>
      <c r="BK15">
        <v>3</v>
      </c>
      <c r="BL15">
        <v>3</v>
      </c>
      <c r="BM15">
        <v>4</v>
      </c>
      <c r="BN15">
        <v>4</v>
      </c>
      <c r="BO15">
        <v>4</v>
      </c>
      <c r="BP15">
        <v>4</v>
      </c>
      <c r="BQ15">
        <v>3</v>
      </c>
      <c r="BR15">
        <v>4</v>
      </c>
      <c r="BS15">
        <v>4</v>
      </c>
      <c r="BU15">
        <v>510.82</v>
      </c>
      <c r="BV15">
        <v>169.58</v>
      </c>
      <c r="CI15">
        <v>341.24</v>
      </c>
    </row>
    <row r="16" spans="1:91" x14ac:dyDescent="0.35">
      <c r="A16">
        <v>22</v>
      </c>
      <c r="B16" t="s">
        <v>153</v>
      </c>
      <c r="C16">
        <v>2</v>
      </c>
      <c r="D16" t="s">
        <v>92</v>
      </c>
      <c r="E16">
        <v>962927791</v>
      </c>
      <c r="F16" t="s">
        <v>154</v>
      </c>
      <c r="G16" t="s">
        <v>153</v>
      </c>
      <c r="H16" t="s">
        <v>94</v>
      </c>
      <c r="I16" t="s">
        <v>95</v>
      </c>
      <c r="J16" t="s">
        <v>94</v>
      </c>
      <c r="K16" t="s">
        <v>95</v>
      </c>
      <c r="L16" t="s">
        <v>94</v>
      </c>
      <c r="M16" t="s">
        <v>94</v>
      </c>
      <c r="O16" t="s">
        <v>94</v>
      </c>
      <c r="Q16" t="s">
        <v>110</v>
      </c>
      <c r="R16" t="s">
        <v>116</v>
      </c>
      <c r="S16" t="s">
        <v>94</v>
      </c>
      <c r="T16" t="s">
        <v>94</v>
      </c>
      <c r="U16" t="s">
        <v>94</v>
      </c>
      <c r="V16" t="s">
        <v>95</v>
      </c>
      <c r="W16" t="s">
        <v>94</v>
      </c>
      <c r="X16" t="s">
        <v>95</v>
      </c>
      <c r="Y16" t="s">
        <v>95</v>
      </c>
      <c r="AG16">
        <v>4</v>
      </c>
      <c r="AH16" t="s">
        <v>112</v>
      </c>
      <c r="AI16">
        <v>4</v>
      </c>
      <c r="AJ16">
        <v>4</v>
      </c>
      <c r="AK16" t="s">
        <v>112</v>
      </c>
      <c r="AL16" t="s">
        <v>112</v>
      </c>
      <c r="AM16" t="s">
        <v>155</v>
      </c>
      <c r="AN16" t="s">
        <v>98</v>
      </c>
      <c r="AO16">
        <v>4</v>
      </c>
      <c r="AP16">
        <v>3</v>
      </c>
      <c r="AQ16" t="s">
        <v>119</v>
      </c>
      <c r="AR16">
        <v>4</v>
      </c>
      <c r="AS16">
        <v>4</v>
      </c>
      <c r="AT16">
        <v>4</v>
      </c>
      <c r="AU16">
        <v>3</v>
      </c>
      <c r="AV16">
        <v>3</v>
      </c>
      <c r="AW16">
        <v>3</v>
      </c>
      <c r="AX16">
        <v>4</v>
      </c>
      <c r="AY16">
        <v>3</v>
      </c>
      <c r="AZ16">
        <v>3</v>
      </c>
      <c r="BA16">
        <v>3</v>
      </c>
      <c r="BB16">
        <v>4</v>
      </c>
      <c r="BC16">
        <v>3</v>
      </c>
      <c r="BD16">
        <v>3</v>
      </c>
      <c r="BE16">
        <v>2</v>
      </c>
      <c r="BF16">
        <v>3</v>
      </c>
      <c r="BG16">
        <v>3</v>
      </c>
      <c r="BH16">
        <v>4</v>
      </c>
      <c r="BI16">
        <v>3</v>
      </c>
      <c r="BJ16">
        <v>4</v>
      </c>
      <c r="BK16">
        <v>3</v>
      </c>
      <c r="BL16">
        <v>3</v>
      </c>
      <c r="BM16">
        <v>4</v>
      </c>
      <c r="BN16">
        <v>3</v>
      </c>
      <c r="BO16">
        <v>3</v>
      </c>
      <c r="BP16" t="s">
        <v>113</v>
      </c>
      <c r="BQ16">
        <v>4</v>
      </c>
      <c r="BR16" t="s">
        <v>113</v>
      </c>
      <c r="BS16">
        <v>4</v>
      </c>
      <c r="BU16">
        <v>271.69</v>
      </c>
      <c r="BV16">
        <v>142.93</v>
      </c>
      <c r="CI16">
        <v>128.76</v>
      </c>
    </row>
    <row r="17" spans="1:87" x14ac:dyDescent="0.35">
      <c r="A17">
        <v>23</v>
      </c>
      <c r="B17" t="s">
        <v>156</v>
      </c>
      <c r="C17">
        <v>2</v>
      </c>
      <c r="D17" t="s">
        <v>92</v>
      </c>
      <c r="E17">
        <v>1926380658</v>
      </c>
      <c r="F17" t="s">
        <v>157</v>
      </c>
      <c r="G17" t="s">
        <v>156</v>
      </c>
      <c r="H17" t="s">
        <v>94</v>
      </c>
      <c r="I17" t="s">
        <v>94</v>
      </c>
      <c r="J17" t="s">
        <v>94</v>
      </c>
      <c r="K17" t="s">
        <v>95</v>
      </c>
      <c r="L17" t="s">
        <v>94</v>
      </c>
      <c r="M17" t="s">
        <v>95</v>
      </c>
      <c r="O17" t="s">
        <v>94</v>
      </c>
      <c r="Q17" t="s">
        <v>110</v>
      </c>
      <c r="R17" t="s">
        <v>94</v>
      </c>
      <c r="S17" t="s">
        <v>94</v>
      </c>
      <c r="T17" t="s">
        <v>94</v>
      </c>
      <c r="U17" t="s">
        <v>94</v>
      </c>
      <c r="V17" t="s">
        <v>95</v>
      </c>
      <c r="W17" t="s">
        <v>94</v>
      </c>
      <c r="X17" t="s">
        <v>95</v>
      </c>
      <c r="Y17" t="s">
        <v>95</v>
      </c>
      <c r="AG17" t="s">
        <v>111</v>
      </c>
      <c r="AH17">
        <v>4</v>
      </c>
      <c r="AI17" t="s">
        <v>112</v>
      </c>
      <c r="AJ17" t="s">
        <v>111</v>
      </c>
      <c r="AK17" t="s">
        <v>111</v>
      </c>
      <c r="AL17">
        <v>4</v>
      </c>
      <c r="AM17" t="s">
        <v>158</v>
      </c>
      <c r="AN17" t="s">
        <v>118</v>
      </c>
      <c r="AO17">
        <v>3</v>
      </c>
      <c r="AP17">
        <v>4</v>
      </c>
      <c r="AQ17">
        <v>4</v>
      </c>
      <c r="AR17" t="s">
        <v>119</v>
      </c>
      <c r="AS17">
        <v>4</v>
      </c>
      <c r="AT17">
        <v>4</v>
      </c>
      <c r="AU17">
        <v>3</v>
      </c>
      <c r="AV17">
        <v>4</v>
      </c>
      <c r="AW17">
        <v>3</v>
      </c>
      <c r="AX17">
        <v>3</v>
      </c>
      <c r="AY17">
        <v>4</v>
      </c>
      <c r="AZ17">
        <v>4</v>
      </c>
      <c r="BA17">
        <v>4</v>
      </c>
      <c r="BB17">
        <v>4</v>
      </c>
      <c r="BC17">
        <v>4</v>
      </c>
      <c r="BD17" t="s">
        <v>101</v>
      </c>
      <c r="BE17">
        <v>4</v>
      </c>
      <c r="BF17" t="s">
        <v>101</v>
      </c>
      <c r="BG17">
        <v>3</v>
      </c>
      <c r="BH17">
        <v>2</v>
      </c>
      <c r="BI17">
        <v>3</v>
      </c>
      <c r="BJ17">
        <v>3</v>
      </c>
      <c r="BK17">
        <v>3</v>
      </c>
      <c r="BL17">
        <v>4</v>
      </c>
      <c r="BM17">
        <v>4</v>
      </c>
      <c r="BN17">
        <v>4</v>
      </c>
      <c r="BO17">
        <v>4</v>
      </c>
      <c r="BP17" t="s">
        <v>113</v>
      </c>
      <c r="BQ17" t="s">
        <v>113</v>
      </c>
      <c r="BR17" t="s">
        <v>113</v>
      </c>
      <c r="BS17" t="s">
        <v>113</v>
      </c>
      <c r="BT17" t="s">
        <v>159</v>
      </c>
      <c r="BU17">
        <v>417.76</v>
      </c>
      <c r="BV17">
        <v>133.22999999999999</v>
      </c>
      <c r="CI17">
        <v>284.52999999999997</v>
      </c>
    </row>
    <row r="18" spans="1:87" x14ac:dyDescent="0.35">
      <c r="A18">
        <v>24</v>
      </c>
      <c r="B18" t="s">
        <v>160</v>
      </c>
      <c r="C18">
        <v>2</v>
      </c>
      <c r="D18" t="s">
        <v>92</v>
      </c>
      <c r="E18">
        <v>151467850</v>
      </c>
      <c r="F18" t="s">
        <v>161</v>
      </c>
      <c r="G18" t="s">
        <v>160</v>
      </c>
      <c r="H18" t="s">
        <v>94</v>
      </c>
      <c r="I18" t="s">
        <v>95</v>
      </c>
      <c r="J18" t="s">
        <v>95</v>
      </c>
      <c r="K18" t="s">
        <v>95</v>
      </c>
      <c r="L18" t="s">
        <v>94</v>
      </c>
      <c r="M18" t="s">
        <v>94</v>
      </c>
      <c r="O18" t="s">
        <v>94</v>
      </c>
      <c r="Q18" t="s">
        <v>97</v>
      </c>
      <c r="R18" t="s">
        <v>116</v>
      </c>
      <c r="S18" t="s">
        <v>94</v>
      </c>
      <c r="T18" t="s">
        <v>94</v>
      </c>
      <c r="U18" t="s">
        <v>95</v>
      </c>
      <c r="V18" t="s">
        <v>95</v>
      </c>
      <c r="W18" t="s">
        <v>94</v>
      </c>
      <c r="X18" t="s">
        <v>95</v>
      </c>
      <c r="Y18" t="s">
        <v>95</v>
      </c>
      <c r="AG18" t="s">
        <v>111</v>
      </c>
      <c r="AH18" t="s">
        <v>112</v>
      </c>
      <c r="AI18" t="s">
        <v>112</v>
      </c>
      <c r="AJ18" t="s">
        <v>112</v>
      </c>
      <c r="AK18" t="s">
        <v>112</v>
      </c>
      <c r="AL18" t="s">
        <v>111</v>
      </c>
      <c r="AN18" t="s">
        <v>98</v>
      </c>
      <c r="AO18">
        <v>2</v>
      </c>
      <c r="AP18">
        <v>2</v>
      </c>
      <c r="AQ18">
        <v>3</v>
      </c>
      <c r="AR18" t="s">
        <v>119</v>
      </c>
      <c r="AS18">
        <v>4</v>
      </c>
      <c r="AT18">
        <v>2</v>
      </c>
      <c r="AU18" t="s">
        <v>101</v>
      </c>
      <c r="AV18" t="s">
        <v>101</v>
      </c>
      <c r="AW18">
        <v>4</v>
      </c>
      <c r="AX18">
        <v>3</v>
      </c>
      <c r="AY18">
        <v>3</v>
      </c>
      <c r="AZ18">
        <v>3</v>
      </c>
      <c r="BA18">
        <v>4</v>
      </c>
      <c r="BB18" t="s">
        <v>100</v>
      </c>
      <c r="BC18">
        <v>3</v>
      </c>
      <c r="BD18">
        <v>2</v>
      </c>
      <c r="BE18">
        <v>4</v>
      </c>
      <c r="BF18">
        <v>4</v>
      </c>
      <c r="BG18" t="s">
        <v>101</v>
      </c>
      <c r="BH18" t="s">
        <v>101</v>
      </c>
      <c r="BI18" t="s">
        <v>101</v>
      </c>
      <c r="BJ18" t="s">
        <v>101</v>
      </c>
      <c r="BK18" t="s">
        <v>101</v>
      </c>
      <c r="BL18" t="s">
        <v>101</v>
      </c>
      <c r="BM18">
        <v>4</v>
      </c>
      <c r="BN18">
        <v>2</v>
      </c>
      <c r="BO18">
        <v>3</v>
      </c>
      <c r="BP18">
        <v>4</v>
      </c>
      <c r="BQ18">
        <v>3</v>
      </c>
      <c r="BR18" t="s">
        <v>113</v>
      </c>
      <c r="BS18" t="s">
        <v>113</v>
      </c>
      <c r="BT18" t="s">
        <v>162</v>
      </c>
      <c r="BU18">
        <v>1093.78</v>
      </c>
      <c r="BV18">
        <v>110.88</v>
      </c>
      <c r="CI18">
        <v>982.9</v>
      </c>
    </row>
    <row r="19" spans="1:87" x14ac:dyDescent="0.35">
      <c r="A19">
        <v>25</v>
      </c>
      <c r="B19" t="s">
        <v>163</v>
      </c>
      <c r="C19">
        <v>2</v>
      </c>
      <c r="D19" t="s">
        <v>92</v>
      </c>
      <c r="E19">
        <v>92679071</v>
      </c>
      <c r="F19" t="s">
        <v>164</v>
      </c>
      <c r="G19" t="s">
        <v>163</v>
      </c>
      <c r="H19" t="s">
        <v>94</v>
      </c>
      <c r="I19" t="s">
        <v>95</v>
      </c>
      <c r="J19" t="s">
        <v>94</v>
      </c>
      <c r="K19" t="s">
        <v>95</v>
      </c>
      <c r="L19" t="s">
        <v>95</v>
      </c>
      <c r="M19" t="s">
        <v>95</v>
      </c>
      <c r="O19" t="s">
        <v>94</v>
      </c>
      <c r="Q19" t="s">
        <v>110</v>
      </c>
      <c r="R19" t="s">
        <v>94</v>
      </c>
      <c r="S19" t="s">
        <v>94</v>
      </c>
      <c r="T19" t="s">
        <v>94</v>
      </c>
      <c r="U19" t="s">
        <v>94</v>
      </c>
      <c r="V19" t="s">
        <v>95</v>
      </c>
      <c r="W19" t="s">
        <v>94</v>
      </c>
      <c r="X19" t="s">
        <v>95</v>
      </c>
      <c r="Y19" t="s">
        <v>95</v>
      </c>
      <c r="AG19" t="s">
        <v>111</v>
      </c>
      <c r="AH19" t="s">
        <v>111</v>
      </c>
      <c r="AI19" t="s">
        <v>111</v>
      </c>
      <c r="AJ19" t="s">
        <v>111</v>
      </c>
      <c r="AK19" t="s">
        <v>111</v>
      </c>
      <c r="AL19" t="s">
        <v>111</v>
      </c>
      <c r="AM19" t="s">
        <v>165</v>
      </c>
      <c r="AN19" t="s">
        <v>131</v>
      </c>
      <c r="AO19">
        <v>2</v>
      </c>
      <c r="AP19">
        <v>3</v>
      </c>
      <c r="AQ19">
        <v>3</v>
      </c>
      <c r="AR19">
        <v>4</v>
      </c>
      <c r="AS19">
        <v>4</v>
      </c>
      <c r="AT19">
        <v>4</v>
      </c>
      <c r="AU19">
        <v>4</v>
      </c>
      <c r="AV19">
        <v>4</v>
      </c>
      <c r="AW19">
        <v>3</v>
      </c>
      <c r="AX19">
        <v>3</v>
      </c>
      <c r="AY19">
        <v>4</v>
      </c>
      <c r="AZ19">
        <v>4</v>
      </c>
      <c r="BA19">
        <v>4</v>
      </c>
      <c r="BB19">
        <v>4</v>
      </c>
      <c r="BC19">
        <v>4</v>
      </c>
      <c r="BD19">
        <v>4</v>
      </c>
      <c r="BE19">
        <v>4</v>
      </c>
      <c r="BF19">
        <v>4</v>
      </c>
      <c r="BG19">
        <v>3</v>
      </c>
      <c r="BH19">
        <v>3</v>
      </c>
      <c r="BI19" t="s">
        <v>100</v>
      </c>
      <c r="BJ19">
        <v>4</v>
      </c>
      <c r="BK19">
        <v>4</v>
      </c>
      <c r="BL19">
        <v>4</v>
      </c>
      <c r="BM19" t="s">
        <v>113</v>
      </c>
      <c r="BN19" t="s">
        <v>113</v>
      </c>
      <c r="BO19" t="s">
        <v>113</v>
      </c>
      <c r="BP19" t="s">
        <v>113</v>
      </c>
      <c r="BQ19">
        <v>4</v>
      </c>
      <c r="BR19" t="s">
        <v>113</v>
      </c>
      <c r="BS19">
        <v>4</v>
      </c>
      <c r="BU19">
        <v>396.51</v>
      </c>
      <c r="BV19">
        <v>175.07</v>
      </c>
      <c r="CI19">
        <v>221.44</v>
      </c>
    </row>
    <row r="20" spans="1:87" x14ac:dyDescent="0.35">
      <c r="A20">
        <v>26</v>
      </c>
      <c r="B20" t="s">
        <v>166</v>
      </c>
      <c r="C20">
        <v>2</v>
      </c>
      <c r="D20" t="s">
        <v>92</v>
      </c>
      <c r="E20">
        <v>330138281</v>
      </c>
      <c r="F20" t="s">
        <v>167</v>
      </c>
      <c r="G20" t="s">
        <v>166</v>
      </c>
      <c r="H20" t="s">
        <v>94</v>
      </c>
      <c r="I20" t="s">
        <v>95</v>
      </c>
      <c r="J20" t="s">
        <v>94</v>
      </c>
      <c r="K20" t="s">
        <v>95</v>
      </c>
      <c r="L20" t="s">
        <v>94</v>
      </c>
      <c r="M20" t="s">
        <v>94</v>
      </c>
      <c r="O20" t="s">
        <v>94</v>
      </c>
      <c r="Q20" t="s">
        <v>110</v>
      </c>
      <c r="R20" t="s">
        <v>116</v>
      </c>
      <c r="S20" t="s">
        <v>94</v>
      </c>
      <c r="T20" t="s">
        <v>94</v>
      </c>
      <c r="U20" t="s">
        <v>95</v>
      </c>
      <c r="V20" t="s">
        <v>95</v>
      </c>
      <c r="W20" t="s">
        <v>94</v>
      </c>
      <c r="X20" t="s">
        <v>95</v>
      </c>
      <c r="Y20" t="s">
        <v>95</v>
      </c>
      <c r="AG20">
        <v>3</v>
      </c>
      <c r="AH20">
        <v>2</v>
      </c>
      <c r="AI20" t="s">
        <v>112</v>
      </c>
      <c r="AJ20" t="s">
        <v>112</v>
      </c>
      <c r="AK20" t="s">
        <v>112</v>
      </c>
      <c r="AL20">
        <v>3</v>
      </c>
      <c r="AM20" t="s">
        <v>168</v>
      </c>
      <c r="AN20" t="s">
        <v>131</v>
      </c>
      <c r="AO20">
        <v>2</v>
      </c>
      <c r="AP20">
        <v>2</v>
      </c>
      <c r="AQ20">
        <v>3</v>
      </c>
      <c r="AR20" t="s">
        <v>119</v>
      </c>
      <c r="AS20">
        <v>4</v>
      </c>
      <c r="AT20">
        <v>2</v>
      </c>
      <c r="AU20" t="s">
        <v>100</v>
      </c>
      <c r="AV20" t="s">
        <v>100</v>
      </c>
      <c r="AW20" t="s">
        <v>101</v>
      </c>
      <c r="AX20" t="s">
        <v>101</v>
      </c>
      <c r="AY20">
        <v>3</v>
      </c>
      <c r="AZ20" t="s">
        <v>101</v>
      </c>
      <c r="BA20">
        <v>3</v>
      </c>
      <c r="BB20" t="s">
        <v>100</v>
      </c>
      <c r="BC20">
        <v>4</v>
      </c>
      <c r="BD20">
        <v>3</v>
      </c>
      <c r="BE20">
        <v>4</v>
      </c>
      <c r="BF20">
        <v>4</v>
      </c>
      <c r="BG20">
        <v>4</v>
      </c>
      <c r="BH20" t="s">
        <v>101</v>
      </c>
      <c r="BI20" t="s">
        <v>101</v>
      </c>
      <c r="BJ20" t="s">
        <v>101</v>
      </c>
      <c r="BK20">
        <v>3</v>
      </c>
      <c r="BL20">
        <v>3</v>
      </c>
      <c r="BM20" t="s">
        <v>113</v>
      </c>
      <c r="BN20" t="s">
        <v>113</v>
      </c>
      <c r="BO20" t="s">
        <v>113</v>
      </c>
      <c r="BP20">
        <v>4</v>
      </c>
      <c r="BQ20" t="s">
        <v>113</v>
      </c>
      <c r="BR20" t="s">
        <v>113</v>
      </c>
      <c r="BS20">
        <v>4</v>
      </c>
      <c r="BT20" t="s">
        <v>169</v>
      </c>
      <c r="BU20">
        <v>1287.6500000000001</v>
      </c>
      <c r="BV20">
        <v>239.66</v>
      </c>
      <c r="CI20">
        <v>1047.99</v>
      </c>
    </row>
    <row r="21" spans="1:87" x14ac:dyDescent="0.35">
      <c r="A21">
        <v>27</v>
      </c>
      <c r="B21" t="s">
        <v>170</v>
      </c>
      <c r="C21">
        <v>2</v>
      </c>
      <c r="D21" t="s">
        <v>92</v>
      </c>
      <c r="E21">
        <v>961521587</v>
      </c>
      <c r="F21" t="s">
        <v>171</v>
      </c>
      <c r="G21" t="s">
        <v>170</v>
      </c>
      <c r="H21" t="s">
        <v>94</v>
      </c>
      <c r="I21" t="s">
        <v>95</v>
      </c>
      <c r="J21" t="s">
        <v>94</v>
      </c>
      <c r="K21" t="s">
        <v>95</v>
      </c>
      <c r="L21" t="s">
        <v>94</v>
      </c>
      <c r="M21" t="s">
        <v>94</v>
      </c>
      <c r="O21" t="s">
        <v>94</v>
      </c>
      <c r="Q21" t="s">
        <v>110</v>
      </c>
      <c r="R21" t="s">
        <v>94</v>
      </c>
      <c r="S21" t="s">
        <v>94</v>
      </c>
      <c r="T21" t="s">
        <v>94</v>
      </c>
      <c r="U21" t="s">
        <v>94</v>
      </c>
      <c r="V21" t="s">
        <v>95</v>
      </c>
      <c r="W21" t="s">
        <v>95</v>
      </c>
      <c r="X21" t="s">
        <v>95</v>
      </c>
      <c r="Y21" t="s">
        <v>95</v>
      </c>
      <c r="AG21">
        <v>4</v>
      </c>
      <c r="AH21">
        <v>4</v>
      </c>
      <c r="AI21">
        <v>4</v>
      </c>
      <c r="AJ21">
        <v>4</v>
      </c>
      <c r="AK21">
        <v>4</v>
      </c>
      <c r="AL21">
        <v>4</v>
      </c>
      <c r="AN21" t="s">
        <v>118</v>
      </c>
      <c r="AO21">
        <v>3</v>
      </c>
      <c r="AP21">
        <v>3</v>
      </c>
      <c r="AQ21" t="s">
        <v>119</v>
      </c>
      <c r="AR21" t="s">
        <v>119</v>
      </c>
      <c r="AS21">
        <v>4</v>
      </c>
      <c r="AT21">
        <v>3</v>
      </c>
      <c r="AU21">
        <v>2</v>
      </c>
      <c r="AV21">
        <v>3</v>
      </c>
      <c r="AW21">
        <v>3</v>
      </c>
      <c r="AX21">
        <v>3</v>
      </c>
      <c r="AY21">
        <v>3</v>
      </c>
      <c r="AZ21">
        <v>4</v>
      </c>
      <c r="BA21">
        <v>4</v>
      </c>
      <c r="BB21">
        <v>4</v>
      </c>
      <c r="BC21">
        <v>4</v>
      </c>
      <c r="BD21">
        <v>4</v>
      </c>
      <c r="BE21">
        <v>3</v>
      </c>
      <c r="BF21">
        <v>3</v>
      </c>
      <c r="BG21">
        <v>3</v>
      </c>
      <c r="BH21">
        <v>3</v>
      </c>
      <c r="BI21">
        <v>3</v>
      </c>
      <c r="BJ21">
        <v>3</v>
      </c>
      <c r="BK21">
        <v>3</v>
      </c>
      <c r="BL21">
        <v>3</v>
      </c>
      <c r="BM21">
        <v>3</v>
      </c>
      <c r="BN21">
        <v>3</v>
      </c>
      <c r="BO21">
        <v>3</v>
      </c>
      <c r="BP21">
        <v>3</v>
      </c>
      <c r="BQ21">
        <v>4</v>
      </c>
      <c r="BR21">
        <v>4</v>
      </c>
      <c r="BS21">
        <v>4</v>
      </c>
      <c r="BU21">
        <v>225.8</v>
      </c>
      <c r="BV21">
        <v>102.54</v>
      </c>
      <c r="CI21">
        <v>123.26</v>
      </c>
    </row>
    <row r="22" spans="1:87" x14ac:dyDescent="0.35">
      <c r="A22">
        <v>28</v>
      </c>
      <c r="B22" t="s">
        <v>172</v>
      </c>
      <c r="C22">
        <v>2</v>
      </c>
      <c r="D22" t="s">
        <v>92</v>
      </c>
      <c r="E22">
        <v>1974352391</v>
      </c>
      <c r="F22" t="s">
        <v>173</v>
      </c>
      <c r="G22" t="s">
        <v>172</v>
      </c>
      <c r="H22" t="s">
        <v>94</v>
      </c>
      <c r="I22" t="s">
        <v>94</v>
      </c>
      <c r="J22" t="s">
        <v>95</v>
      </c>
      <c r="K22" t="s">
        <v>95</v>
      </c>
      <c r="L22" t="s">
        <v>95</v>
      </c>
      <c r="M22" t="s">
        <v>95</v>
      </c>
      <c r="O22" t="s">
        <v>94</v>
      </c>
      <c r="Q22" t="s">
        <v>97</v>
      </c>
      <c r="R22" t="s">
        <v>116</v>
      </c>
      <c r="S22" t="s">
        <v>95</v>
      </c>
      <c r="T22" t="s">
        <v>94</v>
      </c>
      <c r="U22" t="s">
        <v>95</v>
      </c>
      <c r="V22" t="s">
        <v>94</v>
      </c>
      <c r="W22" t="s">
        <v>95</v>
      </c>
      <c r="X22" t="s">
        <v>95</v>
      </c>
      <c r="Y22" t="s">
        <v>95</v>
      </c>
      <c r="AG22">
        <v>3</v>
      </c>
      <c r="AH22">
        <v>3</v>
      </c>
      <c r="AI22" t="s">
        <v>111</v>
      </c>
      <c r="AJ22" t="s">
        <v>112</v>
      </c>
      <c r="AK22" t="s">
        <v>112</v>
      </c>
      <c r="AL22">
        <v>3</v>
      </c>
      <c r="AN22" t="s">
        <v>98</v>
      </c>
      <c r="AO22" t="s">
        <v>99</v>
      </c>
      <c r="AP22">
        <v>2</v>
      </c>
      <c r="AQ22">
        <v>3</v>
      </c>
      <c r="AR22" t="s">
        <v>119</v>
      </c>
      <c r="AS22">
        <v>3</v>
      </c>
      <c r="AT22">
        <v>3</v>
      </c>
      <c r="AU22">
        <v>2</v>
      </c>
      <c r="AV22">
        <v>2</v>
      </c>
      <c r="AW22">
        <v>3</v>
      </c>
      <c r="AX22">
        <v>4</v>
      </c>
      <c r="AY22">
        <v>2</v>
      </c>
      <c r="AZ22">
        <v>2</v>
      </c>
      <c r="BA22">
        <v>4</v>
      </c>
      <c r="BB22">
        <v>4</v>
      </c>
      <c r="BC22">
        <v>3</v>
      </c>
      <c r="BD22">
        <v>3</v>
      </c>
      <c r="BE22" t="s">
        <v>101</v>
      </c>
      <c r="BF22">
        <v>4</v>
      </c>
      <c r="BG22">
        <v>3</v>
      </c>
      <c r="BH22" t="s">
        <v>100</v>
      </c>
      <c r="BI22">
        <v>4</v>
      </c>
      <c r="BJ22">
        <v>3</v>
      </c>
      <c r="BK22">
        <v>3</v>
      </c>
      <c r="BL22">
        <v>3</v>
      </c>
      <c r="BM22">
        <v>3</v>
      </c>
      <c r="BN22">
        <v>4</v>
      </c>
      <c r="BO22">
        <v>3</v>
      </c>
      <c r="BP22">
        <v>4</v>
      </c>
      <c r="BQ22">
        <v>4</v>
      </c>
      <c r="BR22">
        <v>3</v>
      </c>
      <c r="BS22">
        <v>4</v>
      </c>
      <c r="BU22">
        <v>191.33</v>
      </c>
      <c r="BV22">
        <v>87.75</v>
      </c>
      <c r="CI22">
        <v>103.58</v>
      </c>
    </row>
    <row r="23" spans="1:87" x14ac:dyDescent="0.35">
      <c r="A23">
        <v>29</v>
      </c>
      <c r="B23" t="s">
        <v>174</v>
      </c>
      <c r="C23">
        <v>2</v>
      </c>
      <c r="D23" t="s">
        <v>92</v>
      </c>
      <c r="E23">
        <v>1747188778</v>
      </c>
      <c r="F23" t="s">
        <v>175</v>
      </c>
      <c r="G23" t="s">
        <v>174</v>
      </c>
      <c r="H23" t="s">
        <v>94</v>
      </c>
      <c r="I23" t="s">
        <v>95</v>
      </c>
      <c r="J23" t="s">
        <v>95</v>
      </c>
      <c r="K23" t="s">
        <v>95</v>
      </c>
      <c r="L23" t="s">
        <v>94</v>
      </c>
      <c r="M23" t="s">
        <v>94</v>
      </c>
      <c r="O23" t="s">
        <v>94</v>
      </c>
      <c r="Q23" t="s">
        <v>142</v>
      </c>
      <c r="R23" t="s">
        <v>116</v>
      </c>
      <c r="S23" t="s">
        <v>95</v>
      </c>
      <c r="T23" t="s">
        <v>94</v>
      </c>
      <c r="U23" t="s">
        <v>95</v>
      </c>
      <c r="V23" t="s">
        <v>95</v>
      </c>
      <c r="W23" t="s">
        <v>94</v>
      </c>
      <c r="X23" t="s">
        <v>95</v>
      </c>
      <c r="Y23" t="s">
        <v>95</v>
      </c>
      <c r="AG23">
        <v>4</v>
      </c>
      <c r="AH23" t="s">
        <v>111</v>
      </c>
      <c r="AI23" t="s">
        <v>112</v>
      </c>
      <c r="AJ23" t="s">
        <v>112</v>
      </c>
      <c r="AK23" t="s">
        <v>112</v>
      </c>
      <c r="AL23" t="s">
        <v>112</v>
      </c>
      <c r="AN23" t="s">
        <v>131</v>
      </c>
      <c r="AO23">
        <v>2</v>
      </c>
      <c r="AP23" t="s">
        <v>119</v>
      </c>
      <c r="AQ23">
        <v>4</v>
      </c>
      <c r="AR23" t="s">
        <v>119</v>
      </c>
      <c r="AS23">
        <v>4</v>
      </c>
      <c r="AT23" t="s">
        <v>101</v>
      </c>
      <c r="AU23">
        <v>3</v>
      </c>
      <c r="AV23">
        <v>2</v>
      </c>
      <c r="AW23">
        <v>4</v>
      </c>
      <c r="AX23">
        <v>4</v>
      </c>
      <c r="AY23">
        <v>2</v>
      </c>
      <c r="AZ23">
        <v>3</v>
      </c>
      <c r="BA23">
        <v>3</v>
      </c>
      <c r="BB23" t="s">
        <v>100</v>
      </c>
      <c r="BC23" t="s">
        <v>101</v>
      </c>
      <c r="BD23" t="s">
        <v>101</v>
      </c>
      <c r="BE23">
        <v>3</v>
      </c>
      <c r="BF23" t="s">
        <v>100</v>
      </c>
      <c r="BG23">
        <v>3</v>
      </c>
      <c r="BH23">
        <v>3</v>
      </c>
      <c r="BI23">
        <v>4</v>
      </c>
      <c r="BJ23" t="s">
        <v>101</v>
      </c>
      <c r="BK23">
        <v>3</v>
      </c>
      <c r="BL23">
        <v>4</v>
      </c>
      <c r="BM23">
        <v>4</v>
      </c>
      <c r="BN23" t="s">
        <v>113</v>
      </c>
      <c r="BO23">
        <v>3</v>
      </c>
      <c r="BP23">
        <v>4</v>
      </c>
      <c r="BQ23">
        <v>4</v>
      </c>
      <c r="BR23">
        <v>3</v>
      </c>
      <c r="BS23">
        <v>4</v>
      </c>
      <c r="BU23">
        <v>512.38</v>
      </c>
      <c r="BV23">
        <v>150.91</v>
      </c>
      <c r="CI23">
        <v>361.47</v>
      </c>
    </row>
    <row r="24" spans="1:87" x14ac:dyDescent="0.35">
      <c r="A24">
        <v>30</v>
      </c>
      <c r="B24" t="s">
        <v>176</v>
      </c>
      <c r="C24">
        <v>2</v>
      </c>
      <c r="D24" t="s">
        <v>92</v>
      </c>
      <c r="E24">
        <v>1616885393</v>
      </c>
      <c r="F24" t="s">
        <v>177</v>
      </c>
      <c r="G24" t="s">
        <v>176</v>
      </c>
      <c r="H24" t="s">
        <v>94</v>
      </c>
      <c r="I24" t="s">
        <v>95</v>
      </c>
      <c r="J24" t="s">
        <v>95</v>
      </c>
      <c r="K24" t="s">
        <v>95</v>
      </c>
      <c r="L24" t="s">
        <v>94</v>
      </c>
      <c r="M24" t="s">
        <v>94</v>
      </c>
      <c r="O24" t="s">
        <v>94</v>
      </c>
      <c r="Q24" t="s">
        <v>110</v>
      </c>
      <c r="R24" t="s">
        <v>116</v>
      </c>
      <c r="S24" t="s">
        <v>94</v>
      </c>
      <c r="T24" t="s">
        <v>94</v>
      </c>
      <c r="U24" t="s">
        <v>94</v>
      </c>
      <c r="V24" t="s">
        <v>94</v>
      </c>
      <c r="W24" t="s">
        <v>94</v>
      </c>
      <c r="X24" t="s">
        <v>95</v>
      </c>
      <c r="Y24" t="s">
        <v>95</v>
      </c>
      <c r="AG24" t="s">
        <v>111</v>
      </c>
      <c r="AH24" t="s">
        <v>111</v>
      </c>
      <c r="AI24">
        <v>3</v>
      </c>
      <c r="AJ24" t="s">
        <v>112</v>
      </c>
      <c r="AK24" t="s">
        <v>111</v>
      </c>
      <c r="AL24">
        <v>4</v>
      </c>
      <c r="AN24" t="s">
        <v>118</v>
      </c>
      <c r="AO24" t="s">
        <v>99</v>
      </c>
      <c r="AP24">
        <v>3</v>
      </c>
      <c r="AQ24">
        <v>4</v>
      </c>
      <c r="AR24" t="s">
        <v>119</v>
      </c>
      <c r="AS24">
        <v>4</v>
      </c>
      <c r="AT24">
        <v>3</v>
      </c>
      <c r="AU24">
        <v>3</v>
      </c>
      <c r="AV24">
        <v>3</v>
      </c>
      <c r="AW24">
        <v>4</v>
      </c>
      <c r="AX24">
        <v>4</v>
      </c>
      <c r="AY24">
        <v>4</v>
      </c>
      <c r="AZ24">
        <v>4</v>
      </c>
      <c r="BA24" t="s">
        <v>101</v>
      </c>
      <c r="BB24" t="s">
        <v>101</v>
      </c>
      <c r="BC24">
        <v>2</v>
      </c>
      <c r="BD24">
        <v>4</v>
      </c>
      <c r="BE24" t="s">
        <v>101</v>
      </c>
      <c r="BF24">
        <v>4</v>
      </c>
      <c r="BG24">
        <v>4</v>
      </c>
      <c r="BH24" t="s">
        <v>101</v>
      </c>
      <c r="BI24">
        <v>3</v>
      </c>
      <c r="BJ24">
        <v>2</v>
      </c>
      <c r="BK24">
        <v>4</v>
      </c>
      <c r="BL24">
        <v>4</v>
      </c>
      <c r="BM24">
        <v>3</v>
      </c>
      <c r="BN24">
        <v>3</v>
      </c>
      <c r="BO24">
        <v>4</v>
      </c>
      <c r="BP24">
        <v>4</v>
      </c>
      <c r="BQ24" t="s">
        <v>113</v>
      </c>
      <c r="BR24">
        <v>3</v>
      </c>
      <c r="BS24">
        <v>4</v>
      </c>
      <c r="BU24">
        <v>1625.49</v>
      </c>
      <c r="BV24">
        <v>130.34</v>
      </c>
      <c r="CI24">
        <v>1495.15</v>
      </c>
    </row>
    <row r="25" spans="1:87" x14ac:dyDescent="0.35">
      <c r="A25">
        <v>31</v>
      </c>
      <c r="B25" t="s">
        <v>178</v>
      </c>
      <c r="C25">
        <v>2</v>
      </c>
      <c r="D25" t="s">
        <v>92</v>
      </c>
      <c r="E25">
        <v>62487734</v>
      </c>
      <c r="F25" t="s">
        <v>179</v>
      </c>
      <c r="G25" t="s">
        <v>178</v>
      </c>
      <c r="H25" t="s">
        <v>94</v>
      </c>
      <c r="I25" t="s">
        <v>95</v>
      </c>
      <c r="J25" t="s">
        <v>95</v>
      </c>
      <c r="K25" t="s">
        <v>95</v>
      </c>
      <c r="L25" t="s">
        <v>95</v>
      </c>
      <c r="M25" t="s">
        <v>94</v>
      </c>
      <c r="O25" t="s">
        <v>95</v>
      </c>
      <c r="P25" t="s">
        <v>180</v>
      </c>
      <c r="Q25" t="s">
        <v>142</v>
      </c>
      <c r="S25" t="s">
        <v>94</v>
      </c>
      <c r="T25" t="s">
        <v>94</v>
      </c>
      <c r="U25" t="s">
        <v>95</v>
      </c>
      <c r="V25" t="s">
        <v>94</v>
      </c>
      <c r="W25" t="s">
        <v>94</v>
      </c>
      <c r="X25" t="s">
        <v>95</v>
      </c>
      <c r="Y25" t="s">
        <v>95</v>
      </c>
      <c r="AN25" t="s">
        <v>98</v>
      </c>
      <c r="AO25">
        <v>3</v>
      </c>
      <c r="AP25" t="s">
        <v>119</v>
      </c>
      <c r="AQ25">
        <v>4</v>
      </c>
      <c r="AR25">
        <v>4</v>
      </c>
      <c r="AS25">
        <v>4</v>
      </c>
      <c r="AT25">
        <v>4</v>
      </c>
      <c r="AU25">
        <v>3</v>
      </c>
      <c r="AV25">
        <v>2</v>
      </c>
      <c r="AW25">
        <v>2</v>
      </c>
      <c r="AX25">
        <v>2</v>
      </c>
      <c r="AY25">
        <v>4</v>
      </c>
      <c r="AZ25" t="s">
        <v>101</v>
      </c>
      <c r="BA25">
        <v>3</v>
      </c>
      <c r="BB25">
        <v>2</v>
      </c>
      <c r="BC25">
        <v>4</v>
      </c>
      <c r="BD25" t="s">
        <v>101</v>
      </c>
      <c r="BE25">
        <v>2</v>
      </c>
      <c r="BF25">
        <v>2</v>
      </c>
      <c r="BG25">
        <v>3</v>
      </c>
      <c r="BH25">
        <v>3</v>
      </c>
      <c r="BI25">
        <v>4</v>
      </c>
      <c r="BJ25" t="s">
        <v>101</v>
      </c>
      <c r="BK25">
        <v>3</v>
      </c>
      <c r="BL25">
        <v>3</v>
      </c>
      <c r="BM25">
        <v>3</v>
      </c>
      <c r="BN25">
        <v>2</v>
      </c>
      <c r="BO25" t="s">
        <v>113</v>
      </c>
      <c r="BP25" t="s">
        <v>113</v>
      </c>
      <c r="BQ25" t="s">
        <v>113</v>
      </c>
      <c r="BR25">
        <v>3</v>
      </c>
      <c r="BS25" t="s">
        <v>113</v>
      </c>
      <c r="BU25">
        <v>204.33</v>
      </c>
      <c r="BV25">
        <v>63.82</v>
      </c>
      <c r="CI25">
        <v>140.51</v>
      </c>
    </row>
    <row r="26" spans="1:87" x14ac:dyDescent="0.35">
      <c r="A26">
        <v>32</v>
      </c>
      <c r="B26" t="s">
        <v>181</v>
      </c>
      <c r="C26">
        <v>2</v>
      </c>
      <c r="D26" t="s">
        <v>92</v>
      </c>
      <c r="E26">
        <v>341582426</v>
      </c>
      <c r="F26" t="s">
        <v>182</v>
      </c>
      <c r="G26" t="s">
        <v>181</v>
      </c>
      <c r="H26" t="s">
        <v>94</v>
      </c>
      <c r="I26" t="s">
        <v>95</v>
      </c>
      <c r="J26" t="s">
        <v>94</v>
      </c>
      <c r="K26" t="s">
        <v>95</v>
      </c>
      <c r="L26" t="s">
        <v>95</v>
      </c>
      <c r="M26" t="s">
        <v>94</v>
      </c>
      <c r="O26" t="s">
        <v>94</v>
      </c>
      <c r="Q26" t="s">
        <v>110</v>
      </c>
      <c r="R26" t="s">
        <v>94</v>
      </c>
      <c r="S26" t="s">
        <v>94</v>
      </c>
      <c r="T26" t="s">
        <v>94</v>
      </c>
      <c r="U26" t="s">
        <v>94</v>
      </c>
      <c r="V26" t="s">
        <v>95</v>
      </c>
      <c r="W26" t="s">
        <v>94</v>
      </c>
      <c r="X26" t="s">
        <v>95</v>
      </c>
      <c r="Y26" t="s">
        <v>95</v>
      </c>
      <c r="AG26" t="s">
        <v>112</v>
      </c>
      <c r="AH26" t="s">
        <v>112</v>
      </c>
      <c r="AI26" t="s">
        <v>111</v>
      </c>
      <c r="AJ26" t="s">
        <v>112</v>
      </c>
      <c r="AK26" t="s">
        <v>112</v>
      </c>
      <c r="AL26" t="s">
        <v>112</v>
      </c>
      <c r="AM26" t="s">
        <v>183</v>
      </c>
      <c r="AN26" t="s">
        <v>118</v>
      </c>
      <c r="AO26" t="s">
        <v>99</v>
      </c>
      <c r="AP26">
        <v>2</v>
      </c>
      <c r="AQ26">
        <v>2</v>
      </c>
      <c r="AR26">
        <v>4</v>
      </c>
      <c r="AS26" t="s">
        <v>101</v>
      </c>
      <c r="AT26" t="s">
        <v>101</v>
      </c>
      <c r="AU26">
        <v>4</v>
      </c>
      <c r="AV26" t="s">
        <v>101</v>
      </c>
      <c r="AW26">
        <v>4</v>
      </c>
      <c r="AX26" t="s">
        <v>101</v>
      </c>
      <c r="AY26">
        <v>3</v>
      </c>
      <c r="AZ26">
        <v>4</v>
      </c>
      <c r="BA26">
        <v>4</v>
      </c>
      <c r="BB26">
        <v>4</v>
      </c>
      <c r="BC26">
        <v>4</v>
      </c>
      <c r="BD26" t="s">
        <v>101</v>
      </c>
      <c r="BE26" t="s">
        <v>101</v>
      </c>
      <c r="BF26">
        <v>4</v>
      </c>
      <c r="BG26" t="s">
        <v>101</v>
      </c>
      <c r="BH26" t="s">
        <v>101</v>
      </c>
      <c r="BI26">
        <v>3</v>
      </c>
      <c r="BJ26">
        <v>2</v>
      </c>
      <c r="BK26">
        <v>4</v>
      </c>
      <c r="BL26" t="s">
        <v>101</v>
      </c>
      <c r="BM26" t="s">
        <v>113</v>
      </c>
      <c r="BN26" t="s">
        <v>113</v>
      </c>
      <c r="BO26" t="s">
        <v>113</v>
      </c>
      <c r="BP26">
        <v>4</v>
      </c>
      <c r="BQ26">
        <v>3</v>
      </c>
      <c r="BR26" t="s">
        <v>113</v>
      </c>
      <c r="BS26">
        <v>3</v>
      </c>
      <c r="BT26" t="s">
        <v>184</v>
      </c>
      <c r="BU26">
        <v>1765.99</v>
      </c>
      <c r="BV26">
        <v>332.61</v>
      </c>
      <c r="CI26">
        <v>1433.38</v>
      </c>
    </row>
    <row r="27" spans="1:87" x14ac:dyDescent="0.35">
      <c r="A27">
        <v>33</v>
      </c>
      <c r="B27" t="s">
        <v>185</v>
      </c>
      <c r="C27">
        <v>2</v>
      </c>
      <c r="D27" t="s">
        <v>92</v>
      </c>
      <c r="E27">
        <v>447734781</v>
      </c>
      <c r="F27" t="s">
        <v>186</v>
      </c>
      <c r="G27" t="s">
        <v>185</v>
      </c>
      <c r="H27" t="s">
        <v>94</v>
      </c>
      <c r="I27" t="s">
        <v>95</v>
      </c>
      <c r="J27" t="s">
        <v>95</v>
      </c>
      <c r="K27" t="s">
        <v>95</v>
      </c>
      <c r="L27" t="s">
        <v>95</v>
      </c>
      <c r="M27" t="s">
        <v>94</v>
      </c>
      <c r="N27" t="s">
        <v>187</v>
      </c>
      <c r="O27" t="s">
        <v>95</v>
      </c>
      <c r="P27" t="s">
        <v>188</v>
      </c>
      <c r="Q27" t="s">
        <v>97</v>
      </c>
      <c r="S27" t="s">
        <v>95</v>
      </c>
      <c r="T27" t="s">
        <v>94</v>
      </c>
      <c r="U27" t="s">
        <v>95</v>
      </c>
      <c r="V27" t="s">
        <v>95</v>
      </c>
      <c r="W27" t="s">
        <v>94</v>
      </c>
      <c r="X27" t="s">
        <v>95</v>
      </c>
      <c r="Y27" t="s">
        <v>94</v>
      </c>
      <c r="AM27" t="s">
        <v>189</v>
      </c>
      <c r="AN27" t="s">
        <v>118</v>
      </c>
      <c r="AO27">
        <v>2</v>
      </c>
      <c r="AP27">
        <v>2</v>
      </c>
      <c r="AQ27">
        <v>3</v>
      </c>
      <c r="AR27">
        <v>4</v>
      </c>
      <c r="AS27" t="s">
        <v>101</v>
      </c>
      <c r="AT27">
        <v>4</v>
      </c>
      <c r="AU27">
        <v>2</v>
      </c>
      <c r="AV27">
        <v>2</v>
      </c>
      <c r="AW27">
        <v>3</v>
      </c>
      <c r="AX27">
        <v>3</v>
      </c>
      <c r="AY27">
        <v>3</v>
      </c>
      <c r="AZ27">
        <v>2</v>
      </c>
      <c r="BA27">
        <v>2</v>
      </c>
      <c r="BB27">
        <v>4</v>
      </c>
      <c r="BC27" t="s">
        <v>101</v>
      </c>
      <c r="BD27" t="s">
        <v>101</v>
      </c>
      <c r="BE27">
        <v>3</v>
      </c>
      <c r="BF27">
        <v>4</v>
      </c>
      <c r="BG27">
        <v>3</v>
      </c>
      <c r="BH27">
        <v>4</v>
      </c>
      <c r="BI27">
        <v>3</v>
      </c>
      <c r="BJ27">
        <v>3</v>
      </c>
      <c r="BK27">
        <v>3</v>
      </c>
      <c r="BL27">
        <v>3</v>
      </c>
      <c r="BM27" t="s">
        <v>113</v>
      </c>
      <c r="BN27">
        <v>4</v>
      </c>
      <c r="BO27">
        <v>3</v>
      </c>
      <c r="BP27">
        <v>4</v>
      </c>
      <c r="BQ27">
        <v>3</v>
      </c>
      <c r="BR27">
        <v>4</v>
      </c>
      <c r="BS27">
        <v>3</v>
      </c>
      <c r="BT27" t="s">
        <v>190</v>
      </c>
      <c r="BU27">
        <v>1697.35</v>
      </c>
      <c r="BV27">
        <v>420.46</v>
      </c>
      <c r="CI27">
        <v>1276.8900000000001</v>
      </c>
    </row>
    <row r="28" spans="1:87" x14ac:dyDescent="0.35">
      <c r="A28">
        <v>34</v>
      </c>
      <c r="B28" t="s">
        <v>191</v>
      </c>
      <c r="C28">
        <v>2</v>
      </c>
      <c r="D28" t="s">
        <v>92</v>
      </c>
      <c r="E28">
        <v>1834179260</v>
      </c>
      <c r="F28" t="s">
        <v>192</v>
      </c>
      <c r="G28" t="s">
        <v>191</v>
      </c>
      <c r="H28" t="s">
        <v>94</v>
      </c>
      <c r="I28" t="s">
        <v>95</v>
      </c>
      <c r="J28" t="s">
        <v>95</v>
      </c>
      <c r="K28" t="s">
        <v>95</v>
      </c>
      <c r="L28" t="s">
        <v>95</v>
      </c>
      <c r="M28" t="s">
        <v>95</v>
      </c>
      <c r="O28" t="s">
        <v>94</v>
      </c>
      <c r="Q28" t="s">
        <v>110</v>
      </c>
      <c r="R28" t="s">
        <v>116</v>
      </c>
      <c r="S28" t="s">
        <v>94</v>
      </c>
      <c r="T28" t="s">
        <v>94</v>
      </c>
      <c r="U28" t="s">
        <v>95</v>
      </c>
      <c r="V28" t="s">
        <v>94</v>
      </c>
      <c r="W28" t="s">
        <v>94</v>
      </c>
      <c r="X28" t="s">
        <v>94</v>
      </c>
      <c r="Y28" t="s">
        <v>94</v>
      </c>
      <c r="AG28">
        <v>4</v>
      </c>
      <c r="AH28" t="s">
        <v>112</v>
      </c>
      <c r="AI28" t="s">
        <v>111</v>
      </c>
      <c r="AJ28" t="s">
        <v>112</v>
      </c>
      <c r="AK28" t="s">
        <v>112</v>
      </c>
      <c r="AL28">
        <v>4</v>
      </c>
      <c r="AM28" t="s">
        <v>193</v>
      </c>
      <c r="AN28" t="s">
        <v>98</v>
      </c>
      <c r="AO28">
        <v>3</v>
      </c>
      <c r="AP28">
        <v>3</v>
      </c>
      <c r="AQ28" t="s">
        <v>119</v>
      </c>
      <c r="AR28">
        <v>4</v>
      </c>
      <c r="AS28">
        <v>4</v>
      </c>
      <c r="AT28">
        <v>4</v>
      </c>
      <c r="AU28">
        <v>4</v>
      </c>
      <c r="AV28" t="s">
        <v>101</v>
      </c>
      <c r="AW28">
        <v>3</v>
      </c>
      <c r="AX28" t="s">
        <v>101</v>
      </c>
      <c r="AY28">
        <v>4</v>
      </c>
      <c r="AZ28" t="s">
        <v>101</v>
      </c>
      <c r="BA28">
        <v>3</v>
      </c>
      <c r="BB28" t="s">
        <v>101</v>
      </c>
      <c r="BC28">
        <v>4</v>
      </c>
      <c r="BD28" t="s">
        <v>101</v>
      </c>
      <c r="BE28">
        <v>3</v>
      </c>
      <c r="BF28">
        <v>4</v>
      </c>
      <c r="BG28">
        <v>3</v>
      </c>
      <c r="BH28" t="s">
        <v>101</v>
      </c>
      <c r="BI28">
        <v>3</v>
      </c>
      <c r="BJ28">
        <v>3</v>
      </c>
      <c r="BK28">
        <v>2</v>
      </c>
      <c r="BL28">
        <v>2</v>
      </c>
      <c r="BM28">
        <v>4</v>
      </c>
      <c r="BN28">
        <v>4</v>
      </c>
      <c r="BO28">
        <v>4</v>
      </c>
      <c r="BP28" t="s">
        <v>113</v>
      </c>
      <c r="BQ28">
        <v>3</v>
      </c>
      <c r="BR28">
        <v>4</v>
      </c>
      <c r="BS28">
        <v>4</v>
      </c>
      <c r="BT28" t="s">
        <v>194</v>
      </c>
      <c r="BU28">
        <v>330.72</v>
      </c>
      <c r="BV28">
        <v>154.82</v>
      </c>
      <c r="CI28">
        <v>175.9</v>
      </c>
    </row>
    <row r="29" spans="1:87" x14ac:dyDescent="0.35">
      <c r="A29">
        <v>35</v>
      </c>
      <c r="B29" t="s">
        <v>195</v>
      </c>
      <c r="C29">
        <v>2</v>
      </c>
      <c r="D29" t="s">
        <v>92</v>
      </c>
      <c r="E29">
        <v>1966383726</v>
      </c>
      <c r="F29" t="s">
        <v>196</v>
      </c>
      <c r="G29" t="s">
        <v>195</v>
      </c>
      <c r="H29" t="s">
        <v>94</v>
      </c>
      <c r="I29" t="s">
        <v>94</v>
      </c>
      <c r="J29" t="s">
        <v>94</v>
      </c>
      <c r="K29" t="s">
        <v>95</v>
      </c>
      <c r="L29" t="s">
        <v>94</v>
      </c>
      <c r="M29" t="s">
        <v>94</v>
      </c>
      <c r="O29" t="s">
        <v>94</v>
      </c>
      <c r="Q29" t="s">
        <v>110</v>
      </c>
      <c r="R29" t="s">
        <v>94</v>
      </c>
      <c r="S29" t="s">
        <v>94</v>
      </c>
      <c r="T29" t="s">
        <v>94</v>
      </c>
      <c r="U29" t="s">
        <v>94</v>
      </c>
      <c r="V29" t="s">
        <v>94</v>
      </c>
      <c r="W29" t="s">
        <v>94</v>
      </c>
      <c r="X29" t="s">
        <v>95</v>
      </c>
      <c r="Y29" t="s">
        <v>94</v>
      </c>
      <c r="AG29" t="s">
        <v>111</v>
      </c>
      <c r="AH29" t="s">
        <v>111</v>
      </c>
      <c r="AI29" t="s">
        <v>111</v>
      </c>
      <c r="AJ29" t="s">
        <v>112</v>
      </c>
      <c r="AK29" t="s">
        <v>111</v>
      </c>
      <c r="AL29" t="s">
        <v>111</v>
      </c>
      <c r="AM29" t="s">
        <v>197</v>
      </c>
      <c r="AN29" t="s">
        <v>98</v>
      </c>
      <c r="AO29">
        <v>3</v>
      </c>
      <c r="AP29">
        <v>4</v>
      </c>
      <c r="AQ29">
        <v>3</v>
      </c>
      <c r="AR29" t="s">
        <v>119</v>
      </c>
      <c r="AS29">
        <v>4</v>
      </c>
      <c r="AT29">
        <v>2</v>
      </c>
      <c r="AU29">
        <v>3</v>
      </c>
      <c r="AV29">
        <v>4</v>
      </c>
      <c r="AW29">
        <v>3</v>
      </c>
      <c r="AX29">
        <v>3</v>
      </c>
      <c r="AY29">
        <v>4</v>
      </c>
      <c r="AZ29">
        <v>4</v>
      </c>
      <c r="BA29">
        <v>4</v>
      </c>
      <c r="BB29">
        <v>2</v>
      </c>
      <c r="BC29">
        <v>3</v>
      </c>
      <c r="BD29">
        <v>3</v>
      </c>
      <c r="BE29">
        <v>3</v>
      </c>
      <c r="BF29">
        <v>3</v>
      </c>
      <c r="BG29">
        <v>4</v>
      </c>
      <c r="BH29">
        <v>3</v>
      </c>
      <c r="BI29">
        <v>4</v>
      </c>
      <c r="BJ29">
        <v>3</v>
      </c>
      <c r="BK29">
        <v>2</v>
      </c>
      <c r="BL29">
        <v>4</v>
      </c>
      <c r="BM29">
        <v>4</v>
      </c>
      <c r="BN29" t="s">
        <v>113</v>
      </c>
      <c r="BO29" t="s">
        <v>113</v>
      </c>
      <c r="BP29" t="s">
        <v>113</v>
      </c>
      <c r="BQ29" t="s">
        <v>113</v>
      </c>
      <c r="BR29" t="s">
        <v>113</v>
      </c>
      <c r="BS29" t="s">
        <v>113</v>
      </c>
      <c r="BT29" t="s">
        <v>198</v>
      </c>
      <c r="BU29">
        <v>939.93</v>
      </c>
      <c r="BV29">
        <v>168.41</v>
      </c>
      <c r="CI29">
        <v>771.52</v>
      </c>
    </row>
    <row r="30" spans="1:87" x14ac:dyDescent="0.35">
      <c r="A30">
        <v>36</v>
      </c>
      <c r="B30" t="s">
        <v>199</v>
      </c>
      <c r="C30">
        <v>2</v>
      </c>
      <c r="D30" t="s">
        <v>92</v>
      </c>
      <c r="E30">
        <v>137426953</v>
      </c>
      <c r="F30" t="s">
        <v>200</v>
      </c>
      <c r="G30" t="s">
        <v>199</v>
      </c>
      <c r="H30" t="s">
        <v>94</v>
      </c>
      <c r="I30" t="s">
        <v>94</v>
      </c>
      <c r="J30" t="s">
        <v>95</v>
      </c>
      <c r="K30" t="s">
        <v>95</v>
      </c>
      <c r="L30" t="s">
        <v>95</v>
      </c>
      <c r="M30" t="s">
        <v>95</v>
      </c>
      <c r="O30" t="s">
        <v>94</v>
      </c>
      <c r="Q30" t="s">
        <v>110</v>
      </c>
      <c r="R30" t="s">
        <v>94</v>
      </c>
      <c r="S30" t="s">
        <v>94</v>
      </c>
      <c r="T30" t="s">
        <v>94</v>
      </c>
      <c r="U30" t="s">
        <v>95</v>
      </c>
      <c r="V30" t="s">
        <v>94</v>
      </c>
      <c r="W30" t="s">
        <v>95</v>
      </c>
      <c r="X30" t="s">
        <v>95</v>
      </c>
      <c r="Y30" t="s">
        <v>95</v>
      </c>
      <c r="AG30" t="s">
        <v>111</v>
      </c>
      <c r="AH30" t="s">
        <v>111</v>
      </c>
      <c r="AI30" t="s">
        <v>112</v>
      </c>
      <c r="AJ30" t="s">
        <v>112</v>
      </c>
      <c r="AK30" t="s">
        <v>112</v>
      </c>
      <c r="AL30">
        <v>4</v>
      </c>
      <c r="AN30" t="s">
        <v>131</v>
      </c>
      <c r="AO30" t="s">
        <v>99</v>
      </c>
      <c r="AP30">
        <v>3</v>
      </c>
      <c r="AQ30" t="s">
        <v>119</v>
      </c>
      <c r="AR30" t="s">
        <v>119</v>
      </c>
      <c r="AS30">
        <v>4</v>
      </c>
      <c r="AT30">
        <v>3</v>
      </c>
      <c r="AU30">
        <v>2</v>
      </c>
      <c r="AV30" t="s">
        <v>100</v>
      </c>
      <c r="AW30">
        <v>3</v>
      </c>
      <c r="AX30">
        <v>4</v>
      </c>
      <c r="AY30" t="s">
        <v>101</v>
      </c>
      <c r="AZ30" t="s">
        <v>101</v>
      </c>
      <c r="BA30" t="s">
        <v>101</v>
      </c>
      <c r="BB30" t="s">
        <v>101</v>
      </c>
      <c r="BC30">
        <v>4</v>
      </c>
      <c r="BD30" t="s">
        <v>101</v>
      </c>
      <c r="BE30">
        <v>2</v>
      </c>
      <c r="BF30" t="s">
        <v>100</v>
      </c>
      <c r="BG30" t="s">
        <v>100</v>
      </c>
      <c r="BH30">
        <v>2</v>
      </c>
      <c r="BI30">
        <v>3</v>
      </c>
      <c r="BJ30">
        <v>4</v>
      </c>
      <c r="BK30">
        <v>3</v>
      </c>
      <c r="BL30">
        <v>3</v>
      </c>
      <c r="BM30">
        <v>4</v>
      </c>
      <c r="BN30">
        <v>3</v>
      </c>
      <c r="BO30">
        <v>4</v>
      </c>
      <c r="BP30">
        <v>4</v>
      </c>
      <c r="BQ30">
        <v>3</v>
      </c>
      <c r="BR30">
        <v>4</v>
      </c>
      <c r="BS30">
        <v>4</v>
      </c>
      <c r="BU30">
        <v>211.05</v>
      </c>
      <c r="BV30">
        <v>83.89</v>
      </c>
      <c r="CI30">
        <v>127.16</v>
      </c>
    </row>
    <row r="31" spans="1:87" x14ac:dyDescent="0.35">
      <c r="A31">
        <v>37</v>
      </c>
      <c r="B31" t="s">
        <v>201</v>
      </c>
      <c r="C31">
        <v>2</v>
      </c>
      <c r="D31" t="s">
        <v>92</v>
      </c>
      <c r="E31">
        <v>1285906966</v>
      </c>
      <c r="F31" t="s">
        <v>202</v>
      </c>
      <c r="G31" t="s">
        <v>201</v>
      </c>
      <c r="H31" t="s">
        <v>94</v>
      </c>
      <c r="I31" t="s">
        <v>95</v>
      </c>
      <c r="J31" t="s">
        <v>95</v>
      </c>
      <c r="K31" t="s">
        <v>95</v>
      </c>
      <c r="L31" t="s">
        <v>95</v>
      </c>
      <c r="M31" t="s">
        <v>95</v>
      </c>
      <c r="O31" t="s">
        <v>94</v>
      </c>
      <c r="Q31" t="s">
        <v>142</v>
      </c>
      <c r="R31" t="s">
        <v>95</v>
      </c>
      <c r="S31" t="s">
        <v>95</v>
      </c>
      <c r="T31" t="s">
        <v>95</v>
      </c>
      <c r="U31" t="s">
        <v>95</v>
      </c>
      <c r="V31" t="s">
        <v>95</v>
      </c>
      <c r="W31" t="s">
        <v>94</v>
      </c>
      <c r="X31" t="s">
        <v>95</v>
      </c>
      <c r="Y31" t="s">
        <v>95</v>
      </c>
      <c r="AG31">
        <v>4</v>
      </c>
      <c r="AH31" t="s">
        <v>112</v>
      </c>
      <c r="AI31">
        <v>4</v>
      </c>
      <c r="AJ31" t="s">
        <v>112</v>
      </c>
      <c r="AK31">
        <v>4</v>
      </c>
      <c r="AL31" t="s">
        <v>112</v>
      </c>
      <c r="AN31" t="s">
        <v>118</v>
      </c>
      <c r="AO31">
        <v>3</v>
      </c>
      <c r="AP31">
        <v>4</v>
      </c>
      <c r="AQ31">
        <v>4</v>
      </c>
      <c r="AR31" t="s">
        <v>119</v>
      </c>
      <c r="AS31">
        <v>4</v>
      </c>
      <c r="AT31">
        <v>4</v>
      </c>
      <c r="AU31">
        <v>4</v>
      </c>
      <c r="AV31">
        <v>4</v>
      </c>
      <c r="AW31">
        <v>4</v>
      </c>
      <c r="AX31">
        <v>4</v>
      </c>
      <c r="AY31">
        <v>4</v>
      </c>
      <c r="AZ31">
        <v>4</v>
      </c>
      <c r="BA31">
        <v>3</v>
      </c>
      <c r="BB31">
        <v>3</v>
      </c>
      <c r="BC31">
        <v>3</v>
      </c>
      <c r="BD31">
        <v>4</v>
      </c>
      <c r="BE31">
        <v>4</v>
      </c>
      <c r="BF31">
        <v>4</v>
      </c>
      <c r="BG31">
        <v>3</v>
      </c>
      <c r="BH31">
        <v>4</v>
      </c>
      <c r="BI31">
        <v>4</v>
      </c>
      <c r="BJ31">
        <v>4</v>
      </c>
      <c r="BK31">
        <v>4</v>
      </c>
      <c r="BL31">
        <v>4</v>
      </c>
      <c r="BM31" t="s">
        <v>113</v>
      </c>
      <c r="BN31" t="s">
        <v>113</v>
      </c>
      <c r="BO31">
        <v>4</v>
      </c>
      <c r="BP31">
        <v>4</v>
      </c>
      <c r="BQ31">
        <v>3</v>
      </c>
      <c r="BR31">
        <v>4</v>
      </c>
      <c r="BS31">
        <v>4</v>
      </c>
      <c r="BU31">
        <v>360.69</v>
      </c>
      <c r="BV31">
        <v>145.66</v>
      </c>
      <c r="CI31">
        <v>215.03</v>
      </c>
    </row>
    <row r="32" spans="1:87" x14ac:dyDescent="0.35">
      <c r="A32">
        <v>38</v>
      </c>
      <c r="B32" t="s">
        <v>203</v>
      </c>
      <c r="C32">
        <v>2</v>
      </c>
      <c r="D32" t="s">
        <v>92</v>
      </c>
      <c r="E32">
        <v>1197499443</v>
      </c>
      <c r="F32" t="s">
        <v>204</v>
      </c>
      <c r="G32" t="s">
        <v>203</v>
      </c>
      <c r="H32" t="s">
        <v>94</v>
      </c>
      <c r="I32" t="s">
        <v>94</v>
      </c>
      <c r="J32" t="s">
        <v>95</v>
      </c>
      <c r="K32" t="s">
        <v>95</v>
      </c>
      <c r="L32" t="s">
        <v>94</v>
      </c>
      <c r="M32" t="s">
        <v>94</v>
      </c>
      <c r="O32" t="s">
        <v>95</v>
      </c>
      <c r="P32" t="s">
        <v>205</v>
      </c>
      <c r="Q32" t="s">
        <v>142</v>
      </c>
      <c r="S32" t="s">
        <v>94</v>
      </c>
      <c r="T32" t="s">
        <v>94</v>
      </c>
      <c r="U32" t="s">
        <v>95</v>
      </c>
      <c r="V32" t="s">
        <v>95</v>
      </c>
      <c r="W32" t="s">
        <v>94</v>
      </c>
      <c r="X32" t="s">
        <v>94</v>
      </c>
      <c r="Y32" t="s">
        <v>94</v>
      </c>
      <c r="AM32" t="s">
        <v>206</v>
      </c>
      <c r="AN32" t="s">
        <v>131</v>
      </c>
      <c r="AO32">
        <v>3</v>
      </c>
      <c r="AP32">
        <v>4</v>
      </c>
      <c r="AQ32">
        <v>2</v>
      </c>
      <c r="AR32">
        <v>3</v>
      </c>
      <c r="AS32">
        <v>4</v>
      </c>
      <c r="AT32">
        <v>4</v>
      </c>
      <c r="AU32">
        <v>3</v>
      </c>
      <c r="AV32">
        <v>2</v>
      </c>
      <c r="AW32">
        <v>2</v>
      </c>
      <c r="AX32" t="s">
        <v>100</v>
      </c>
      <c r="AY32">
        <v>2</v>
      </c>
      <c r="AZ32" t="s">
        <v>100</v>
      </c>
      <c r="BA32" t="s">
        <v>101</v>
      </c>
      <c r="BB32" t="s">
        <v>101</v>
      </c>
      <c r="BC32">
        <v>4</v>
      </c>
      <c r="BD32">
        <v>4</v>
      </c>
      <c r="BE32">
        <v>3</v>
      </c>
      <c r="BF32">
        <v>3</v>
      </c>
      <c r="BG32">
        <v>3</v>
      </c>
      <c r="BH32">
        <v>3</v>
      </c>
      <c r="BI32">
        <v>3</v>
      </c>
      <c r="BJ32">
        <v>3</v>
      </c>
      <c r="BK32">
        <v>4</v>
      </c>
      <c r="BL32" t="s">
        <v>101</v>
      </c>
      <c r="BM32" t="s">
        <v>113</v>
      </c>
      <c r="BN32" t="s">
        <v>113</v>
      </c>
      <c r="BO32">
        <v>4</v>
      </c>
      <c r="BP32">
        <v>3</v>
      </c>
      <c r="BQ32">
        <v>3</v>
      </c>
      <c r="BR32">
        <v>4</v>
      </c>
      <c r="BS32">
        <v>4</v>
      </c>
      <c r="BU32">
        <v>255.08</v>
      </c>
      <c r="BV32">
        <v>162.53</v>
      </c>
      <c r="CI32">
        <v>92.55</v>
      </c>
    </row>
    <row r="33" spans="1:87" x14ac:dyDescent="0.35">
      <c r="A33">
        <v>39</v>
      </c>
      <c r="B33" t="s">
        <v>207</v>
      </c>
      <c r="C33">
        <v>2</v>
      </c>
      <c r="D33" t="s">
        <v>92</v>
      </c>
      <c r="E33">
        <v>1476931004</v>
      </c>
      <c r="F33" t="s">
        <v>208</v>
      </c>
      <c r="G33" t="s">
        <v>207</v>
      </c>
      <c r="H33" t="s">
        <v>94</v>
      </c>
      <c r="I33" t="s">
        <v>95</v>
      </c>
      <c r="J33" t="s">
        <v>95</v>
      </c>
      <c r="K33" t="s">
        <v>95</v>
      </c>
      <c r="L33" t="s">
        <v>94</v>
      </c>
      <c r="M33" t="s">
        <v>95</v>
      </c>
      <c r="O33" t="s">
        <v>94</v>
      </c>
      <c r="Q33" t="s">
        <v>110</v>
      </c>
      <c r="R33" t="s">
        <v>116</v>
      </c>
      <c r="S33" t="s">
        <v>95</v>
      </c>
      <c r="T33" t="s">
        <v>95</v>
      </c>
      <c r="U33" t="s">
        <v>95</v>
      </c>
      <c r="V33" t="s">
        <v>95</v>
      </c>
      <c r="W33" t="s">
        <v>94</v>
      </c>
      <c r="X33" t="s">
        <v>95</v>
      </c>
      <c r="Y33" t="s">
        <v>95</v>
      </c>
      <c r="AG33">
        <v>4</v>
      </c>
      <c r="AH33">
        <v>2</v>
      </c>
      <c r="AI33" t="s">
        <v>112</v>
      </c>
      <c r="AJ33" t="s">
        <v>112</v>
      </c>
      <c r="AK33">
        <v>2</v>
      </c>
      <c r="AL33" t="s">
        <v>111</v>
      </c>
      <c r="AN33" t="s">
        <v>98</v>
      </c>
      <c r="AO33" t="s">
        <v>99</v>
      </c>
      <c r="AP33" t="s">
        <v>99</v>
      </c>
      <c r="AQ33" t="s">
        <v>99</v>
      </c>
      <c r="AR33">
        <v>3</v>
      </c>
      <c r="AS33" t="s">
        <v>101</v>
      </c>
      <c r="AT33" t="s">
        <v>101</v>
      </c>
      <c r="AU33">
        <v>3</v>
      </c>
      <c r="AV33">
        <v>3</v>
      </c>
      <c r="AW33">
        <v>3</v>
      </c>
      <c r="AX33">
        <v>3</v>
      </c>
      <c r="AY33">
        <v>3</v>
      </c>
      <c r="AZ33">
        <v>4</v>
      </c>
      <c r="BA33">
        <v>3</v>
      </c>
      <c r="BB33">
        <v>2</v>
      </c>
      <c r="BC33">
        <v>3</v>
      </c>
      <c r="BD33">
        <v>3</v>
      </c>
      <c r="BE33" t="s">
        <v>101</v>
      </c>
      <c r="BF33" t="s">
        <v>101</v>
      </c>
      <c r="BG33">
        <v>3</v>
      </c>
      <c r="BH33">
        <v>3</v>
      </c>
      <c r="BI33" t="s">
        <v>101</v>
      </c>
      <c r="BJ33" t="s">
        <v>101</v>
      </c>
      <c r="BK33">
        <v>3</v>
      </c>
      <c r="BL33">
        <v>4</v>
      </c>
      <c r="BM33" t="s">
        <v>113</v>
      </c>
      <c r="BN33" t="s">
        <v>113</v>
      </c>
      <c r="BO33" t="s">
        <v>113</v>
      </c>
      <c r="BP33" t="s">
        <v>113</v>
      </c>
      <c r="BQ33" t="s">
        <v>113</v>
      </c>
      <c r="BR33" t="s">
        <v>113</v>
      </c>
      <c r="BS33" t="s">
        <v>113</v>
      </c>
      <c r="BT33" t="s">
        <v>209</v>
      </c>
      <c r="BU33">
        <v>1685.32</v>
      </c>
      <c r="BV33">
        <v>116.31</v>
      </c>
      <c r="CI33">
        <v>1569.01</v>
      </c>
    </row>
    <row r="34" spans="1:87" x14ac:dyDescent="0.35">
      <c r="A34">
        <v>40</v>
      </c>
      <c r="B34" t="s">
        <v>210</v>
      </c>
      <c r="C34">
        <v>2</v>
      </c>
      <c r="D34" t="s">
        <v>92</v>
      </c>
      <c r="E34">
        <v>640510751</v>
      </c>
      <c r="F34" t="s">
        <v>211</v>
      </c>
      <c r="G34" t="s">
        <v>210</v>
      </c>
      <c r="H34" t="s">
        <v>94</v>
      </c>
      <c r="I34" t="s">
        <v>95</v>
      </c>
      <c r="J34" t="s">
        <v>95</v>
      </c>
      <c r="K34" t="s">
        <v>95</v>
      </c>
      <c r="L34" t="s">
        <v>95</v>
      </c>
      <c r="M34" t="s">
        <v>95</v>
      </c>
      <c r="O34" t="s">
        <v>94</v>
      </c>
      <c r="Q34" t="s">
        <v>142</v>
      </c>
      <c r="R34" t="s">
        <v>116</v>
      </c>
      <c r="S34" t="s">
        <v>95</v>
      </c>
      <c r="T34" t="s">
        <v>94</v>
      </c>
      <c r="U34" t="s">
        <v>95</v>
      </c>
      <c r="V34" t="s">
        <v>94</v>
      </c>
      <c r="W34" t="s">
        <v>94</v>
      </c>
      <c r="X34" t="s">
        <v>95</v>
      </c>
      <c r="Y34" t="s">
        <v>95</v>
      </c>
      <c r="AG34">
        <v>4</v>
      </c>
      <c r="AH34">
        <v>3</v>
      </c>
      <c r="AI34" t="s">
        <v>112</v>
      </c>
      <c r="AJ34" t="s">
        <v>112</v>
      </c>
      <c r="AK34" t="s">
        <v>112</v>
      </c>
      <c r="AL34">
        <v>4</v>
      </c>
      <c r="AM34" t="s">
        <v>212</v>
      </c>
      <c r="AN34" t="s">
        <v>118</v>
      </c>
      <c r="AO34">
        <v>2</v>
      </c>
      <c r="AP34">
        <v>3</v>
      </c>
      <c r="AQ34">
        <v>3</v>
      </c>
      <c r="AR34" t="s">
        <v>119</v>
      </c>
      <c r="AS34">
        <v>4</v>
      </c>
      <c r="AT34">
        <v>3</v>
      </c>
      <c r="AU34">
        <v>2</v>
      </c>
      <c r="AV34" t="s">
        <v>100</v>
      </c>
      <c r="AW34">
        <v>3</v>
      </c>
      <c r="AX34">
        <v>3</v>
      </c>
      <c r="AY34" t="s">
        <v>100</v>
      </c>
      <c r="AZ34">
        <v>2</v>
      </c>
      <c r="BA34">
        <v>3</v>
      </c>
      <c r="BB34">
        <v>2</v>
      </c>
      <c r="BC34">
        <v>4</v>
      </c>
      <c r="BD34">
        <v>4</v>
      </c>
      <c r="BE34">
        <v>2</v>
      </c>
      <c r="BF34">
        <v>4</v>
      </c>
      <c r="BG34">
        <v>3</v>
      </c>
      <c r="BH34">
        <v>2</v>
      </c>
      <c r="BI34">
        <v>4</v>
      </c>
      <c r="BJ34">
        <v>2</v>
      </c>
      <c r="BK34">
        <v>4</v>
      </c>
      <c r="BL34">
        <v>4</v>
      </c>
      <c r="BM34" t="s">
        <v>113</v>
      </c>
      <c r="BN34" t="s">
        <v>113</v>
      </c>
      <c r="BO34">
        <v>4</v>
      </c>
      <c r="BP34">
        <v>4</v>
      </c>
      <c r="BQ34">
        <v>3</v>
      </c>
      <c r="BR34">
        <v>2</v>
      </c>
      <c r="BS34">
        <v>3</v>
      </c>
      <c r="BT34" t="s">
        <v>213</v>
      </c>
      <c r="BU34">
        <v>545.30999999999995</v>
      </c>
      <c r="BV34">
        <v>251.97</v>
      </c>
      <c r="CI34">
        <v>293.33999999999997</v>
      </c>
    </row>
    <row r="35" spans="1:87" x14ac:dyDescent="0.35">
      <c r="A35">
        <v>41</v>
      </c>
      <c r="B35" t="s">
        <v>214</v>
      </c>
      <c r="C35">
        <v>2</v>
      </c>
      <c r="D35" t="s">
        <v>92</v>
      </c>
      <c r="E35">
        <v>2096848905</v>
      </c>
      <c r="F35" t="s">
        <v>215</v>
      </c>
      <c r="G35" t="s">
        <v>214</v>
      </c>
      <c r="H35" t="s">
        <v>94</v>
      </c>
      <c r="I35" t="s">
        <v>95</v>
      </c>
      <c r="J35" t="s">
        <v>95</v>
      </c>
      <c r="K35" t="s">
        <v>95</v>
      </c>
      <c r="L35" t="s">
        <v>95</v>
      </c>
      <c r="M35" t="s">
        <v>95</v>
      </c>
      <c r="O35" t="s">
        <v>94</v>
      </c>
      <c r="Q35" t="s">
        <v>110</v>
      </c>
      <c r="R35" t="s">
        <v>116</v>
      </c>
      <c r="S35" t="s">
        <v>95</v>
      </c>
      <c r="T35" t="s">
        <v>95</v>
      </c>
      <c r="U35" t="s">
        <v>95</v>
      </c>
      <c r="V35" t="s">
        <v>95</v>
      </c>
      <c r="W35" t="s">
        <v>94</v>
      </c>
      <c r="X35" t="s">
        <v>95</v>
      </c>
      <c r="Y35" t="s">
        <v>95</v>
      </c>
      <c r="AG35">
        <v>4</v>
      </c>
      <c r="AH35">
        <v>4</v>
      </c>
      <c r="AI35">
        <v>4</v>
      </c>
      <c r="AJ35">
        <v>4</v>
      </c>
      <c r="AK35" t="s">
        <v>111</v>
      </c>
      <c r="AL35" t="s">
        <v>112</v>
      </c>
      <c r="AN35" t="s">
        <v>118</v>
      </c>
      <c r="AO35">
        <v>3</v>
      </c>
      <c r="AP35">
        <v>4</v>
      </c>
      <c r="AQ35">
        <v>4</v>
      </c>
      <c r="AR35" t="s">
        <v>119</v>
      </c>
      <c r="AS35">
        <v>4</v>
      </c>
      <c r="AT35">
        <v>3</v>
      </c>
      <c r="AU35">
        <v>3</v>
      </c>
      <c r="AV35">
        <v>3</v>
      </c>
      <c r="AW35">
        <v>2</v>
      </c>
      <c r="AX35" t="s">
        <v>100</v>
      </c>
      <c r="AY35" t="s">
        <v>100</v>
      </c>
      <c r="AZ35" t="s">
        <v>100</v>
      </c>
      <c r="BA35">
        <v>3</v>
      </c>
      <c r="BB35" t="s">
        <v>100</v>
      </c>
      <c r="BC35">
        <v>3</v>
      </c>
      <c r="BD35">
        <v>3</v>
      </c>
      <c r="BE35">
        <v>3</v>
      </c>
      <c r="BF35">
        <v>3</v>
      </c>
      <c r="BG35">
        <v>3</v>
      </c>
      <c r="BH35">
        <v>4</v>
      </c>
      <c r="BI35">
        <v>3</v>
      </c>
      <c r="BJ35" t="s">
        <v>100</v>
      </c>
      <c r="BK35">
        <v>3</v>
      </c>
      <c r="BL35">
        <v>3</v>
      </c>
      <c r="BM35">
        <v>3</v>
      </c>
      <c r="BN35">
        <v>3</v>
      </c>
      <c r="BO35">
        <v>4</v>
      </c>
      <c r="BP35">
        <v>4</v>
      </c>
      <c r="BQ35">
        <v>3</v>
      </c>
      <c r="BR35">
        <v>4</v>
      </c>
      <c r="BS35">
        <v>4</v>
      </c>
      <c r="BU35">
        <v>213.91</v>
      </c>
      <c r="BV35">
        <v>81.05</v>
      </c>
      <c r="CI35">
        <v>132.86000000000001</v>
      </c>
    </row>
    <row r="36" spans="1:87" x14ac:dyDescent="0.35">
      <c r="A36">
        <v>42</v>
      </c>
      <c r="B36" t="s">
        <v>216</v>
      </c>
      <c r="C36">
        <v>2</v>
      </c>
      <c r="D36" t="s">
        <v>92</v>
      </c>
      <c r="E36">
        <v>338392603</v>
      </c>
      <c r="F36" t="s">
        <v>217</v>
      </c>
      <c r="G36" t="s">
        <v>216</v>
      </c>
      <c r="H36" t="s">
        <v>94</v>
      </c>
      <c r="I36" t="s">
        <v>95</v>
      </c>
      <c r="J36" t="s">
        <v>94</v>
      </c>
      <c r="K36" t="s">
        <v>95</v>
      </c>
      <c r="L36" t="s">
        <v>95</v>
      </c>
      <c r="M36" t="s">
        <v>95</v>
      </c>
      <c r="O36" t="s">
        <v>95</v>
      </c>
      <c r="P36" t="s">
        <v>218</v>
      </c>
      <c r="Q36" t="s">
        <v>110</v>
      </c>
      <c r="S36" t="s">
        <v>95</v>
      </c>
      <c r="T36" t="s">
        <v>95</v>
      </c>
      <c r="U36" t="s">
        <v>95</v>
      </c>
      <c r="V36" t="s">
        <v>95</v>
      </c>
      <c r="W36" t="s">
        <v>95</v>
      </c>
      <c r="X36" t="s">
        <v>95</v>
      </c>
      <c r="Y36" t="s">
        <v>95</v>
      </c>
      <c r="Z36" t="s">
        <v>219</v>
      </c>
      <c r="AM36" t="s">
        <v>220</v>
      </c>
      <c r="AN36" t="s">
        <v>131</v>
      </c>
      <c r="AO36" t="s">
        <v>119</v>
      </c>
      <c r="AP36" t="s">
        <v>119</v>
      </c>
      <c r="AQ36" t="s">
        <v>119</v>
      </c>
      <c r="AR36" t="s">
        <v>119</v>
      </c>
      <c r="AS36">
        <v>4</v>
      </c>
      <c r="AT36">
        <v>4</v>
      </c>
      <c r="AU36">
        <v>3</v>
      </c>
      <c r="AV36">
        <v>3</v>
      </c>
      <c r="AW36">
        <v>3</v>
      </c>
      <c r="AX36">
        <v>3</v>
      </c>
      <c r="AY36">
        <v>3</v>
      </c>
      <c r="AZ36">
        <v>3</v>
      </c>
      <c r="BA36">
        <v>3</v>
      </c>
      <c r="BB36">
        <v>3</v>
      </c>
      <c r="BC36">
        <v>4</v>
      </c>
      <c r="BD36">
        <v>4</v>
      </c>
      <c r="BE36">
        <v>4</v>
      </c>
      <c r="BF36">
        <v>4</v>
      </c>
      <c r="BG36">
        <v>2</v>
      </c>
      <c r="BH36">
        <v>2</v>
      </c>
      <c r="BI36" t="s">
        <v>100</v>
      </c>
      <c r="BJ36" t="s">
        <v>100</v>
      </c>
      <c r="BK36">
        <v>2</v>
      </c>
      <c r="BL36">
        <v>2</v>
      </c>
      <c r="BM36">
        <v>4</v>
      </c>
      <c r="BN36" t="s">
        <v>113</v>
      </c>
      <c r="BO36">
        <v>4</v>
      </c>
      <c r="BP36">
        <v>4</v>
      </c>
      <c r="BQ36">
        <v>4</v>
      </c>
      <c r="BR36">
        <v>4</v>
      </c>
      <c r="BS36">
        <v>4</v>
      </c>
      <c r="BU36">
        <v>354.1</v>
      </c>
      <c r="BV36">
        <v>167.78</v>
      </c>
      <c r="CI36">
        <v>186.32</v>
      </c>
    </row>
    <row r="37" spans="1:87" x14ac:dyDescent="0.35">
      <c r="A37">
        <v>43</v>
      </c>
      <c r="B37" t="s">
        <v>221</v>
      </c>
      <c r="C37">
        <v>2</v>
      </c>
      <c r="D37" t="s">
        <v>92</v>
      </c>
      <c r="E37">
        <v>1071327313</v>
      </c>
      <c r="F37" t="s">
        <v>222</v>
      </c>
      <c r="G37" t="s">
        <v>221</v>
      </c>
      <c r="H37" t="s">
        <v>95</v>
      </c>
      <c r="I37" t="s">
        <v>95</v>
      </c>
      <c r="J37" t="s">
        <v>95</v>
      </c>
      <c r="K37" t="s">
        <v>95</v>
      </c>
      <c r="L37" t="s">
        <v>94</v>
      </c>
      <c r="M37" t="s">
        <v>95</v>
      </c>
      <c r="O37" t="s">
        <v>94</v>
      </c>
      <c r="Q37" t="s">
        <v>110</v>
      </c>
      <c r="R37" t="s">
        <v>94</v>
      </c>
      <c r="S37" t="s">
        <v>95</v>
      </c>
      <c r="T37" t="s">
        <v>94</v>
      </c>
      <c r="U37" t="s">
        <v>94</v>
      </c>
      <c r="V37" t="s">
        <v>95</v>
      </c>
      <c r="W37" t="s">
        <v>95</v>
      </c>
      <c r="X37" t="s">
        <v>94</v>
      </c>
      <c r="Y37" t="s">
        <v>95</v>
      </c>
      <c r="AG37" t="s">
        <v>111</v>
      </c>
      <c r="AH37" t="s">
        <v>111</v>
      </c>
      <c r="AI37" t="s">
        <v>112</v>
      </c>
      <c r="AJ37" t="s">
        <v>112</v>
      </c>
      <c r="AK37" t="s">
        <v>112</v>
      </c>
      <c r="AL37" t="s">
        <v>112</v>
      </c>
      <c r="AM37" t="s">
        <v>223</v>
      </c>
      <c r="AN37" t="s">
        <v>131</v>
      </c>
      <c r="AO37">
        <v>4</v>
      </c>
      <c r="AP37">
        <v>4</v>
      </c>
      <c r="AQ37" t="s">
        <v>119</v>
      </c>
      <c r="AR37" t="s">
        <v>119</v>
      </c>
      <c r="AS37">
        <v>3</v>
      </c>
      <c r="AT37">
        <v>2</v>
      </c>
      <c r="AU37">
        <v>3</v>
      </c>
      <c r="AV37">
        <v>2</v>
      </c>
      <c r="AW37">
        <v>3</v>
      </c>
      <c r="AX37">
        <v>2</v>
      </c>
      <c r="AY37">
        <v>4</v>
      </c>
      <c r="AZ37">
        <v>3</v>
      </c>
      <c r="BA37">
        <v>4</v>
      </c>
      <c r="BB37">
        <v>4</v>
      </c>
      <c r="BC37">
        <v>3</v>
      </c>
      <c r="BD37" t="s">
        <v>100</v>
      </c>
      <c r="BE37">
        <v>3</v>
      </c>
      <c r="BF37">
        <v>3</v>
      </c>
      <c r="BG37">
        <v>3</v>
      </c>
      <c r="BH37">
        <v>3</v>
      </c>
      <c r="BI37">
        <v>3</v>
      </c>
      <c r="BJ37">
        <v>3</v>
      </c>
      <c r="BK37">
        <v>4</v>
      </c>
      <c r="BL37">
        <v>3</v>
      </c>
      <c r="BM37">
        <v>4</v>
      </c>
      <c r="BN37" t="s">
        <v>113</v>
      </c>
      <c r="BO37">
        <v>4</v>
      </c>
      <c r="BP37">
        <v>4</v>
      </c>
      <c r="BQ37">
        <v>3</v>
      </c>
      <c r="BR37">
        <v>4</v>
      </c>
      <c r="BS37">
        <v>4</v>
      </c>
      <c r="BU37">
        <v>426.14</v>
      </c>
      <c r="BV37">
        <v>229.24</v>
      </c>
      <c r="CI37">
        <v>196.9</v>
      </c>
    </row>
    <row r="38" spans="1:87" x14ac:dyDescent="0.35">
      <c r="A38">
        <v>44</v>
      </c>
      <c r="B38" t="s">
        <v>224</v>
      </c>
      <c r="C38">
        <v>2</v>
      </c>
      <c r="D38" t="s">
        <v>92</v>
      </c>
      <c r="E38">
        <v>137029157</v>
      </c>
      <c r="F38" t="s">
        <v>225</v>
      </c>
      <c r="G38" t="s">
        <v>224</v>
      </c>
      <c r="H38" t="s">
        <v>95</v>
      </c>
      <c r="I38" t="s">
        <v>95</v>
      </c>
      <c r="J38" t="s">
        <v>95</v>
      </c>
      <c r="K38" t="s">
        <v>95</v>
      </c>
      <c r="L38" t="s">
        <v>94</v>
      </c>
      <c r="M38" t="s">
        <v>95</v>
      </c>
      <c r="O38" t="s">
        <v>95</v>
      </c>
      <c r="P38" t="s">
        <v>226</v>
      </c>
      <c r="Q38" t="s">
        <v>142</v>
      </c>
      <c r="S38" t="s">
        <v>95</v>
      </c>
      <c r="T38" t="s">
        <v>94</v>
      </c>
      <c r="U38" t="s">
        <v>95</v>
      </c>
      <c r="V38" t="s">
        <v>95</v>
      </c>
      <c r="W38" t="s">
        <v>94</v>
      </c>
      <c r="X38" t="s">
        <v>94</v>
      </c>
      <c r="Y38" t="s">
        <v>94</v>
      </c>
      <c r="AN38" t="s">
        <v>118</v>
      </c>
      <c r="AO38">
        <v>3</v>
      </c>
      <c r="AP38">
        <v>4</v>
      </c>
      <c r="AQ38">
        <v>4</v>
      </c>
      <c r="AR38" t="s">
        <v>119</v>
      </c>
      <c r="AS38" t="s">
        <v>101</v>
      </c>
      <c r="AT38">
        <v>4</v>
      </c>
      <c r="AU38">
        <v>4</v>
      </c>
      <c r="AV38" t="s">
        <v>101</v>
      </c>
      <c r="AW38">
        <v>4</v>
      </c>
      <c r="AX38">
        <v>4</v>
      </c>
      <c r="AY38">
        <v>4</v>
      </c>
      <c r="AZ38">
        <v>4</v>
      </c>
      <c r="BA38" t="s">
        <v>101</v>
      </c>
      <c r="BB38" t="s">
        <v>101</v>
      </c>
      <c r="BC38">
        <v>4</v>
      </c>
      <c r="BD38">
        <v>4</v>
      </c>
      <c r="BE38" t="s">
        <v>101</v>
      </c>
      <c r="BF38" t="s">
        <v>101</v>
      </c>
      <c r="BG38">
        <v>4</v>
      </c>
      <c r="BH38">
        <v>4</v>
      </c>
      <c r="BI38">
        <v>4</v>
      </c>
      <c r="BJ38">
        <v>4</v>
      </c>
      <c r="BK38">
        <v>4</v>
      </c>
      <c r="BL38">
        <v>4</v>
      </c>
      <c r="BM38">
        <v>3</v>
      </c>
      <c r="BN38">
        <v>4</v>
      </c>
      <c r="BO38">
        <v>4</v>
      </c>
      <c r="BP38">
        <v>4</v>
      </c>
      <c r="BQ38">
        <v>4</v>
      </c>
      <c r="BR38">
        <v>4</v>
      </c>
      <c r="BS38" t="s">
        <v>113</v>
      </c>
      <c r="BU38">
        <v>181.12</v>
      </c>
      <c r="BV38">
        <v>82.33</v>
      </c>
      <c r="CI38">
        <v>98.79</v>
      </c>
    </row>
    <row r="39" spans="1:87" x14ac:dyDescent="0.35">
      <c r="A39">
        <v>45</v>
      </c>
      <c r="B39" t="s">
        <v>227</v>
      </c>
      <c r="C39">
        <v>2</v>
      </c>
      <c r="D39" t="s">
        <v>92</v>
      </c>
      <c r="E39">
        <v>1768838471</v>
      </c>
      <c r="F39" t="s">
        <v>228</v>
      </c>
      <c r="G39" t="s">
        <v>229</v>
      </c>
      <c r="H39" t="s">
        <v>94</v>
      </c>
      <c r="I39" t="s">
        <v>95</v>
      </c>
      <c r="J39" t="s">
        <v>95</v>
      </c>
      <c r="K39" t="s">
        <v>95</v>
      </c>
      <c r="L39" t="s">
        <v>95</v>
      </c>
      <c r="M39" t="s">
        <v>95</v>
      </c>
      <c r="O39" t="s">
        <v>94</v>
      </c>
      <c r="Q39" t="s">
        <v>110</v>
      </c>
      <c r="R39" t="s">
        <v>116</v>
      </c>
      <c r="S39" t="s">
        <v>95</v>
      </c>
      <c r="T39" t="s">
        <v>94</v>
      </c>
      <c r="U39" t="s">
        <v>95</v>
      </c>
      <c r="V39" t="s">
        <v>95</v>
      </c>
      <c r="W39" t="s">
        <v>94</v>
      </c>
      <c r="X39" t="s">
        <v>94</v>
      </c>
      <c r="Y39" t="s">
        <v>95</v>
      </c>
      <c r="AG39">
        <v>3</v>
      </c>
      <c r="AH39">
        <v>3</v>
      </c>
      <c r="AI39">
        <v>3</v>
      </c>
      <c r="AJ39">
        <v>3</v>
      </c>
      <c r="AK39">
        <v>3</v>
      </c>
      <c r="AL39">
        <v>3</v>
      </c>
      <c r="AN39" t="s">
        <v>118</v>
      </c>
      <c r="AO39">
        <v>3</v>
      </c>
      <c r="AP39">
        <v>3</v>
      </c>
      <c r="AQ39">
        <v>3</v>
      </c>
      <c r="AR39">
        <v>3</v>
      </c>
      <c r="AS39">
        <v>3</v>
      </c>
      <c r="AT39">
        <v>3</v>
      </c>
      <c r="AU39">
        <v>3</v>
      </c>
      <c r="AV39">
        <v>3</v>
      </c>
      <c r="AW39">
        <v>3</v>
      </c>
      <c r="AX39">
        <v>3</v>
      </c>
      <c r="AY39">
        <v>3</v>
      </c>
      <c r="AZ39">
        <v>3</v>
      </c>
      <c r="BA39">
        <v>3</v>
      </c>
      <c r="BB39">
        <v>3</v>
      </c>
      <c r="BC39">
        <v>3</v>
      </c>
      <c r="BD39">
        <v>3</v>
      </c>
      <c r="BE39">
        <v>3</v>
      </c>
      <c r="BF39">
        <v>2</v>
      </c>
      <c r="BG39">
        <v>3</v>
      </c>
      <c r="BH39">
        <v>2</v>
      </c>
      <c r="BI39">
        <v>3</v>
      </c>
      <c r="BJ39">
        <v>2</v>
      </c>
      <c r="BK39">
        <v>3</v>
      </c>
      <c r="BL39">
        <v>2</v>
      </c>
      <c r="BM39">
        <v>4</v>
      </c>
      <c r="BN39">
        <v>4</v>
      </c>
      <c r="BO39">
        <v>4</v>
      </c>
      <c r="BP39">
        <v>4</v>
      </c>
      <c r="BQ39">
        <v>4</v>
      </c>
      <c r="BR39">
        <v>4</v>
      </c>
      <c r="BS39">
        <v>4</v>
      </c>
      <c r="BU39">
        <v>245.99</v>
      </c>
      <c r="BV39">
        <v>150.99</v>
      </c>
      <c r="CI39">
        <v>95</v>
      </c>
    </row>
    <row r="40" spans="1:87" x14ac:dyDescent="0.35">
      <c r="A40">
        <v>46</v>
      </c>
      <c r="B40" t="s">
        <v>230</v>
      </c>
      <c r="C40">
        <v>2</v>
      </c>
      <c r="D40" t="s">
        <v>92</v>
      </c>
      <c r="E40">
        <v>1900974850</v>
      </c>
      <c r="F40" t="s">
        <v>231</v>
      </c>
      <c r="G40" t="s">
        <v>230</v>
      </c>
      <c r="H40" t="s">
        <v>94</v>
      </c>
      <c r="I40" t="s">
        <v>95</v>
      </c>
      <c r="J40" t="s">
        <v>95</v>
      </c>
      <c r="K40" t="s">
        <v>95</v>
      </c>
      <c r="L40" t="s">
        <v>94</v>
      </c>
      <c r="M40" t="s">
        <v>95</v>
      </c>
      <c r="O40" t="s">
        <v>94</v>
      </c>
      <c r="Q40" t="s">
        <v>110</v>
      </c>
      <c r="R40" t="s">
        <v>94</v>
      </c>
      <c r="S40" t="s">
        <v>95</v>
      </c>
      <c r="T40" t="s">
        <v>95</v>
      </c>
      <c r="U40" t="s">
        <v>94</v>
      </c>
      <c r="V40" t="s">
        <v>95</v>
      </c>
      <c r="W40" t="s">
        <v>94</v>
      </c>
      <c r="X40" t="s">
        <v>95</v>
      </c>
      <c r="Y40" t="s">
        <v>95</v>
      </c>
      <c r="AG40" t="s">
        <v>111</v>
      </c>
      <c r="AH40" t="s">
        <v>112</v>
      </c>
      <c r="AI40" t="s">
        <v>112</v>
      </c>
      <c r="AJ40">
        <v>4</v>
      </c>
      <c r="AK40" t="s">
        <v>112</v>
      </c>
      <c r="AL40" t="s">
        <v>111</v>
      </c>
      <c r="AN40" t="s">
        <v>131</v>
      </c>
      <c r="AO40" t="s">
        <v>99</v>
      </c>
      <c r="AP40">
        <v>2</v>
      </c>
      <c r="AQ40">
        <v>3</v>
      </c>
      <c r="AR40" t="s">
        <v>119</v>
      </c>
      <c r="AS40">
        <v>3</v>
      </c>
      <c r="AT40">
        <v>4</v>
      </c>
      <c r="AU40">
        <v>4</v>
      </c>
      <c r="AV40" t="s">
        <v>101</v>
      </c>
      <c r="AW40">
        <v>2</v>
      </c>
      <c r="AX40">
        <v>3</v>
      </c>
      <c r="AY40">
        <v>3</v>
      </c>
      <c r="AZ40">
        <v>3</v>
      </c>
      <c r="BA40">
        <v>4</v>
      </c>
      <c r="BB40" t="s">
        <v>101</v>
      </c>
      <c r="BC40">
        <v>4</v>
      </c>
      <c r="BD40" t="s">
        <v>101</v>
      </c>
      <c r="BE40" t="s">
        <v>101</v>
      </c>
      <c r="BF40" t="s">
        <v>101</v>
      </c>
      <c r="BG40">
        <v>3</v>
      </c>
      <c r="BH40">
        <v>3</v>
      </c>
      <c r="BI40">
        <v>4</v>
      </c>
      <c r="BJ40">
        <v>4</v>
      </c>
      <c r="BK40">
        <v>2</v>
      </c>
      <c r="BL40">
        <v>4</v>
      </c>
      <c r="BM40">
        <v>4</v>
      </c>
      <c r="BN40">
        <v>4</v>
      </c>
      <c r="BO40">
        <v>3</v>
      </c>
      <c r="BP40">
        <v>2</v>
      </c>
      <c r="BQ40">
        <v>2</v>
      </c>
      <c r="BR40">
        <v>4</v>
      </c>
      <c r="BS40">
        <v>3</v>
      </c>
      <c r="BU40">
        <v>190.66</v>
      </c>
      <c r="BV40">
        <v>56.45</v>
      </c>
      <c r="CI40">
        <v>134.21</v>
      </c>
    </row>
    <row r="41" spans="1:87" x14ac:dyDescent="0.35">
      <c r="A41">
        <v>47</v>
      </c>
      <c r="B41" t="s">
        <v>232</v>
      </c>
      <c r="C41">
        <v>2</v>
      </c>
      <c r="D41" t="s">
        <v>92</v>
      </c>
      <c r="E41">
        <v>2125887103</v>
      </c>
      <c r="F41" t="s">
        <v>233</v>
      </c>
      <c r="G41" t="s">
        <v>232</v>
      </c>
      <c r="H41" t="s">
        <v>94</v>
      </c>
      <c r="I41" t="s">
        <v>95</v>
      </c>
      <c r="J41" t="s">
        <v>95</v>
      </c>
      <c r="K41" t="s">
        <v>95</v>
      </c>
      <c r="L41" t="s">
        <v>94</v>
      </c>
      <c r="M41" t="s">
        <v>94</v>
      </c>
      <c r="O41" t="s">
        <v>94</v>
      </c>
      <c r="Q41" t="s">
        <v>110</v>
      </c>
      <c r="R41" t="s">
        <v>94</v>
      </c>
      <c r="S41" t="s">
        <v>95</v>
      </c>
      <c r="T41" t="s">
        <v>94</v>
      </c>
      <c r="U41" t="s">
        <v>95</v>
      </c>
      <c r="V41" t="s">
        <v>95</v>
      </c>
      <c r="W41" t="s">
        <v>94</v>
      </c>
      <c r="X41" t="s">
        <v>95</v>
      </c>
      <c r="Y41" t="s">
        <v>95</v>
      </c>
      <c r="AG41">
        <v>4</v>
      </c>
      <c r="AH41">
        <v>4</v>
      </c>
      <c r="AI41" t="s">
        <v>111</v>
      </c>
      <c r="AJ41" t="s">
        <v>111</v>
      </c>
      <c r="AK41" t="s">
        <v>234</v>
      </c>
      <c r="AL41">
        <v>2</v>
      </c>
      <c r="AM41" t="s">
        <v>235</v>
      </c>
      <c r="AN41" t="s">
        <v>131</v>
      </c>
      <c r="AO41" t="s">
        <v>99</v>
      </c>
      <c r="AP41">
        <v>3</v>
      </c>
      <c r="AQ41">
        <v>2</v>
      </c>
      <c r="AR41">
        <v>4</v>
      </c>
      <c r="AS41">
        <v>4</v>
      </c>
      <c r="AT41">
        <v>4</v>
      </c>
      <c r="AU41">
        <v>3</v>
      </c>
      <c r="AV41" t="s">
        <v>101</v>
      </c>
      <c r="AW41">
        <v>3</v>
      </c>
      <c r="AX41">
        <v>3</v>
      </c>
      <c r="AY41">
        <v>4</v>
      </c>
      <c r="AZ41" t="s">
        <v>101</v>
      </c>
      <c r="BA41">
        <v>3</v>
      </c>
      <c r="BB41">
        <v>4</v>
      </c>
      <c r="BC41">
        <v>3</v>
      </c>
      <c r="BD41">
        <v>3</v>
      </c>
      <c r="BE41" t="s">
        <v>101</v>
      </c>
      <c r="BF41" t="s">
        <v>101</v>
      </c>
      <c r="BG41" t="s">
        <v>101</v>
      </c>
      <c r="BH41" t="s">
        <v>101</v>
      </c>
      <c r="BI41" t="s">
        <v>101</v>
      </c>
      <c r="BJ41" t="s">
        <v>101</v>
      </c>
      <c r="BK41">
        <v>4</v>
      </c>
      <c r="BL41" t="s">
        <v>101</v>
      </c>
      <c r="BM41">
        <v>4</v>
      </c>
      <c r="BN41" t="s">
        <v>113</v>
      </c>
      <c r="BO41" t="s">
        <v>113</v>
      </c>
      <c r="BP41">
        <v>4</v>
      </c>
      <c r="BQ41">
        <v>3</v>
      </c>
      <c r="BR41" t="s">
        <v>113</v>
      </c>
      <c r="BS41" t="s">
        <v>113</v>
      </c>
      <c r="BU41">
        <v>238.18</v>
      </c>
      <c r="BV41">
        <v>123.83</v>
      </c>
      <c r="CI41">
        <v>114.35</v>
      </c>
    </row>
    <row r="42" spans="1:87" x14ac:dyDescent="0.35">
      <c r="A42">
        <v>48</v>
      </c>
      <c r="B42" t="s">
        <v>236</v>
      </c>
      <c r="C42">
        <v>2</v>
      </c>
      <c r="D42" t="s">
        <v>92</v>
      </c>
      <c r="E42">
        <v>465978371</v>
      </c>
      <c r="F42" t="s">
        <v>237</v>
      </c>
      <c r="G42" t="s">
        <v>236</v>
      </c>
      <c r="H42" t="s">
        <v>94</v>
      </c>
      <c r="I42" t="s">
        <v>95</v>
      </c>
      <c r="J42" t="s">
        <v>95</v>
      </c>
      <c r="K42" t="s">
        <v>95</v>
      </c>
      <c r="L42" t="s">
        <v>94</v>
      </c>
      <c r="M42" t="s">
        <v>94</v>
      </c>
      <c r="O42" t="s">
        <v>94</v>
      </c>
      <c r="Q42" t="s">
        <v>110</v>
      </c>
      <c r="R42" t="s">
        <v>94</v>
      </c>
      <c r="S42" t="s">
        <v>95</v>
      </c>
      <c r="T42" t="s">
        <v>95</v>
      </c>
      <c r="U42" t="s">
        <v>95</v>
      </c>
      <c r="V42" t="s">
        <v>94</v>
      </c>
      <c r="W42" t="s">
        <v>94</v>
      </c>
      <c r="X42" t="s">
        <v>94</v>
      </c>
      <c r="Y42" t="s">
        <v>95</v>
      </c>
      <c r="AG42" t="s">
        <v>111</v>
      </c>
      <c r="AH42" t="s">
        <v>112</v>
      </c>
      <c r="AI42" t="s">
        <v>112</v>
      </c>
      <c r="AJ42" t="s">
        <v>112</v>
      </c>
      <c r="AK42" t="s">
        <v>112</v>
      </c>
      <c r="AL42" t="s">
        <v>112</v>
      </c>
      <c r="AN42" t="s">
        <v>131</v>
      </c>
      <c r="AO42">
        <v>3</v>
      </c>
      <c r="AP42">
        <v>4</v>
      </c>
      <c r="AQ42">
        <v>3</v>
      </c>
      <c r="AR42">
        <v>4</v>
      </c>
      <c r="AS42">
        <v>4</v>
      </c>
      <c r="AT42">
        <v>4</v>
      </c>
      <c r="AU42">
        <v>2</v>
      </c>
      <c r="AV42">
        <v>2</v>
      </c>
      <c r="AW42">
        <v>4</v>
      </c>
      <c r="AX42">
        <v>4</v>
      </c>
      <c r="AY42">
        <v>3</v>
      </c>
      <c r="AZ42">
        <v>3</v>
      </c>
      <c r="BA42">
        <v>4</v>
      </c>
      <c r="BB42">
        <v>4</v>
      </c>
      <c r="BC42">
        <v>4</v>
      </c>
      <c r="BD42">
        <v>4</v>
      </c>
      <c r="BE42" t="s">
        <v>101</v>
      </c>
      <c r="BF42" t="s">
        <v>101</v>
      </c>
      <c r="BG42">
        <v>4</v>
      </c>
      <c r="BH42">
        <v>4</v>
      </c>
      <c r="BI42">
        <v>4</v>
      </c>
      <c r="BJ42">
        <v>4</v>
      </c>
      <c r="BK42">
        <v>3</v>
      </c>
      <c r="BL42">
        <v>3</v>
      </c>
      <c r="BM42" t="s">
        <v>113</v>
      </c>
      <c r="BN42" t="s">
        <v>113</v>
      </c>
      <c r="BO42" t="s">
        <v>113</v>
      </c>
      <c r="BP42" t="s">
        <v>113</v>
      </c>
      <c r="BQ42" t="s">
        <v>113</v>
      </c>
      <c r="BR42" t="s">
        <v>113</v>
      </c>
      <c r="BS42" t="s">
        <v>113</v>
      </c>
      <c r="BU42">
        <v>578.98</v>
      </c>
      <c r="BV42">
        <v>432.3</v>
      </c>
      <c r="CI42">
        <v>146.68</v>
      </c>
    </row>
    <row r="43" spans="1:87" x14ac:dyDescent="0.35">
      <c r="A43">
        <v>50</v>
      </c>
      <c r="B43" t="s">
        <v>238</v>
      </c>
      <c r="C43">
        <v>2</v>
      </c>
      <c r="D43" t="s">
        <v>92</v>
      </c>
      <c r="E43">
        <v>337350506</v>
      </c>
      <c r="F43" t="s">
        <v>239</v>
      </c>
      <c r="G43" t="s">
        <v>238</v>
      </c>
      <c r="H43" t="s">
        <v>94</v>
      </c>
      <c r="I43" t="s">
        <v>95</v>
      </c>
      <c r="J43" t="s">
        <v>95</v>
      </c>
      <c r="K43" t="s">
        <v>95</v>
      </c>
      <c r="L43" t="s">
        <v>94</v>
      </c>
      <c r="M43" t="s">
        <v>94</v>
      </c>
      <c r="O43" t="s">
        <v>94</v>
      </c>
      <c r="Q43" t="s">
        <v>110</v>
      </c>
      <c r="R43" t="s">
        <v>116</v>
      </c>
      <c r="S43" t="s">
        <v>95</v>
      </c>
      <c r="T43" t="s">
        <v>94</v>
      </c>
      <c r="U43" t="s">
        <v>94</v>
      </c>
      <c r="V43" t="s">
        <v>94</v>
      </c>
      <c r="W43" t="s">
        <v>94</v>
      </c>
      <c r="X43" t="s">
        <v>95</v>
      </c>
      <c r="Y43" t="s">
        <v>94</v>
      </c>
      <c r="AG43" t="s">
        <v>111</v>
      </c>
      <c r="AH43" t="s">
        <v>111</v>
      </c>
      <c r="AI43" t="s">
        <v>111</v>
      </c>
      <c r="AJ43" t="s">
        <v>111</v>
      </c>
      <c r="AK43" t="s">
        <v>112</v>
      </c>
      <c r="AL43" t="s">
        <v>112</v>
      </c>
      <c r="AN43" t="s">
        <v>131</v>
      </c>
      <c r="AO43" t="s">
        <v>99</v>
      </c>
      <c r="AP43">
        <v>2</v>
      </c>
      <c r="AQ43" t="s">
        <v>99</v>
      </c>
      <c r="AR43">
        <v>4</v>
      </c>
      <c r="AS43">
        <v>4</v>
      </c>
      <c r="AT43" t="s">
        <v>101</v>
      </c>
      <c r="AU43">
        <v>3</v>
      </c>
      <c r="AV43" t="s">
        <v>101</v>
      </c>
      <c r="AW43">
        <v>4</v>
      </c>
      <c r="AX43" t="s">
        <v>101</v>
      </c>
      <c r="AY43">
        <v>3</v>
      </c>
      <c r="AZ43">
        <v>3</v>
      </c>
      <c r="BA43">
        <v>4</v>
      </c>
      <c r="BB43" t="s">
        <v>101</v>
      </c>
      <c r="BC43">
        <v>3</v>
      </c>
      <c r="BD43">
        <v>4</v>
      </c>
      <c r="BE43" t="s">
        <v>101</v>
      </c>
      <c r="BF43" t="s">
        <v>101</v>
      </c>
      <c r="BG43">
        <v>4</v>
      </c>
      <c r="BH43">
        <v>4</v>
      </c>
      <c r="BI43" t="s">
        <v>101</v>
      </c>
      <c r="BJ43" t="s">
        <v>101</v>
      </c>
      <c r="BK43" t="s">
        <v>101</v>
      </c>
      <c r="BL43" t="s">
        <v>101</v>
      </c>
      <c r="BM43" t="s">
        <v>113</v>
      </c>
      <c r="BN43" t="s">
        <v>113</v>
      </c>
      <c r="BO43">
        <v>4</v>
      </c>
      <c r="BP43" t="s">
        <v>113</v>
      </c>
      <c r="BQ43" t="s">
        <v>107</v>
      </c>
      <c r="BR43">
        <v>3</v>
      </c>
      <c r="BS43">
        <v>4</v>
      </c>
      <c r="BU43">
        <v>215.3</v>
      </c>
      <c r="BV43">
        <v>116.27</v>
      </c>
      <c r="CI43">
        <v>99.03</v>
      </c>
    </row>
    <row r="45" spans="1:87" x14ac:dyDescent="0.35">
      <c r="M45" t="s">
        <v>94</v>
      </c>
      <c r="N45">
        <f>COUNTIF($O$2:$O$43,M45)</f>
        <v>31</v>
      </c>
      <c r="P45" t="s">
        <v>97</v>
      </c>
      <c r="Q45">
        <f>COUNTIF($Q$2:$Q$43,P45)</f>
        <v>6</v>
      </c>
    </row>
    <row r="46" spans="1:87" x14ac:dyDescent="0.35">
      <c r="M46" t="s">
        <v>95</v>
      </c>
      <c r="N46">
        <f>COUNTIF($O$2:$O$43,M46)</f>
        <v>11</v>
      </c>
      <c r="P46" t="s">
        <v>124</v>
      </c>
      <c r="Q46">
        <f t="shared" ref="Q46:Q48" si="0">COUNTIF($Q$2:$Q$43,P46)</f>
        <v>3</v>
      </c>
      <c r="AM46" t="s">
        <v>98</v>
      </c>
      <c r="AN46">
        <f>COUNTIF($AN$2:$AN$43,AM46)</f>
        <v>14</v>
      </c>
    </row>
    <row r="47" spans="1:87" x14ac:dyDescent="0.35">
      <c r="P47" t="s">
        <v>142</v>
      </c>
      <c r="Q47">
        <f t="shared" si="0"/>
        <v>7</v>
      </c>
      <c r="AM47" t="s">
        <v>118</v>
      </c>
      <c r="AN47">
        <f t="shared" ref="AN47:AN48" si="1">COUNTIF($AN$2:$AN$43,AM47)</f>
        <v>13</v>
      </c>
    </row>
    <row r="48" spans="1:87" x14ac:dyDescent="0.35">
      <c r="P48" t="s">
        <v>110</v>
      </c>
      <c r="Q48">
        <f t="shared" si="0"/>
        <v>26</v>
      </c>
      <c r="AM48" t="s">
        <v>131</v>
      </c>
      <c r="AN48">
        <f t="shared" si="1"/>
        <v>15</v>
      </c>
    </row>
    <row r="50" spans="17:21" x14ac:dyDescent="0.35">
      <c r="Q50" t="s">
        <v>94</v>
      </c>
      <c r="R50">
        <f>COUNTIF($R$2:$R$43,Q50)</f>
        <v>13</v>
      </c>
      <c r="T50" t="s">
        <v>94</v>
      </c>
      <c r="U50">
        <f>COUNTIF($U$2:$U$43,T50)</f>
        <v>13</v>
      </c>
    </row>
    <row r="51" spans="17:21" x14ac:dyDescent="0.35">
      <c r="Q51" t="s">
        <v>116</v>
      </c>
      <c r="R51">
        <f t="shared" ref="R51:R52" si="2">COUNTIF($R$2:$R$43,Q51)</f>
        <v>17</v>
      </c>
      <c r="T51" t="s">
        <v>95</v>
      </c>
      <c r="U51">
        <f>COUNTIF($U$2:$U$43,T51)</f>
        <v>29</v>
      </c>
    </row>
    <row r="52" spans="17:21" x14ac:dyDescent="0.35">
      <c r="Q52" t="s">
        <v>95</v>
      </c>
      <c r="R52">
        <f t="shared" si="2"/>
        <v>1</v>
      </c>
    </row>
    <row r="53" spans="17:21" x14ac:dyDescent="0.35">
      <c r="Q53" t="s">
        <v>240</v>
      </c>
      <c r="R53">
        <f>COUNTBLANK($R$2:$R$43)</f>
        <v>11</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Encuesta de ingreso a énfasis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Kryscia Ramírez Benavides</cp:lastModifiedBy>
  <cp:revision>0</cp:revision>
  <dcterms:created xsi:type="dcterms:W3CDTF">2024-12-03T12:59:11Z</dcterms:created>
  <dcterms:modified xsi:type="dcterms:W3CDTF">2026-04-14T00:35:18Z</dcterms:modified>
</cp:coreProperties>
</file>