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F2679D82-9640-4E64-886A-A1114165650D}" xr6:coauthVersionLast="47" xr6:coauthVersionMax="47" xr10:uidLastSave="{00000000-0000-0000-0000-000000000000}"/>
  <bookViews>
    <workbookView xWindow="-98" yWindow="-98" windowWidth="23596" windowHeight="15076" tabRatio="212" firstSheet="1" activeTab="1" xr2:uid="{00000000-000D-0000-FFFF-FFFF00000000}"/>
  </bookViews>
  <sheets>
    <sheet name="Encuesta de ingreso a énfasis" sheetId="1" r:id="rId1"/>
    <sheet name="Encuesta de ingreso a énfas (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9" i="2" l="1"/>
  <c r="U48" i="2"/>
  <c r="U52" i="2" s="1"/>
  <c r="R51" i="2" l="1"/>
  <c r="R50" i="2"/>
  <c r="R49" i="2"/>
  <c r="R48" i="2"/>
  <c r="AI49" i="2"/>
  <c r="AI50" i="2"/>
  <c r="AI48" i="2"/>
  <c r="AI51" i="2" s="1"/>
  <c r="Q49" i="2"/>
  <c r="Q50" i="2"/>
  <c r="Q51" i="2"/>
  <c r="Q48" i="2"/>
  <c r="Q52" i="2" s="1"/>
  <c r="O49" i="2"/>
  <c r="O48" i="2"/>
  <c r="O52" i="2" s="1"/>
  <c r="R52" i="2" l="1"/>
</calcChain>
</file>

<file path=xl/sharedStrings.xml><?xml version="1.0" encoding="utf-8"?>
<sst xmlns="http://schemas.openxmlformats.org/spreadsheetml/2006/main" count="3638" uniqueCount="340">
  <si>
    <t>ID de respuesta</t>
  </si>
  <si>
    <t>Fecha de envío</t>
  </si>
  <si>
    <t>Última página</t>
  </si>
  <si>
    <t>Lenguaje inicial</t>
  </si>
  <si>
    <t>Semilla</t>
  </si>
  <si>
    <t>Fecha de inicio</t>
  </si>
  <si>
    <t>Fecha de la última acción</t>
  </si>
  <si>
    <t>Carné:</t>
  </si>
  <si>
    <t>Nombre completo:</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</si>
  <si>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</si>
  <si>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</si>
  <si>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</si>
  <si>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</si>
  <si>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</si>
  <si>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</si>
  <si>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</si>
  <si>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actividad realizada por los énfasis?</t>
  </si>
  <si>
    <t>Comente por qué no asistió a las actividades realizadas por los énfasis. </t>
  </si>
  <si>
    <t>¿En cuál semestre de la carrera tomó la decisión sobre el énfasis?</t>
  </si>
  <si>
    <t>¿Considera que las actividades realizadas por los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</si>
  <si>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</si>
  <si>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</si>
  <si>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</si>
  <si>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</si>
  <si>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</si>
  <si>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</si>
  <si>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</si>
  <si>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</si>
  <si>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actividades realizadas por los énfasis en su decisión: [Actividades del Énfasis de IS]</t>
  </si>
  <si>
    <t>Indique el impacto que tuvieron las actividades realizadas por los énfasis en su decisión: [Actividades del Énfasis de ITI]</t>
  </si>
  <si>
    <t>Indique el impacto que tuvieron las actividades realizadas por los énfasis en su decisión: [Actividades del Énfasis de CC]</t>
  </si>
  <si>
    <t>Indique qué tan útiles fueron las siguientes actividades: [Charla introductoria de los énfasis]</t>
  </si>
  <si>
    <t>Indique qué tan útiles fueron las siguientes actividades: [Mesa redonda con estudiantes de los tres énfasis]</t>
  </si>
  <si>
    <t>Indique qué tan útiles fueron las siguientes actividades: [Mesa redonda con egresados de los tres énfasis]</t>
  </si>
  <si>
    <t>Indique qué tan útiles fueron las siguientes actividades: [Charla del proceso administrativo y mitos &amp;amp; realidades]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</si>
  <si>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</si>
  <si>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</si>
  <si>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</si>
  <si>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</si>
  <si>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</si>
  <si>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</si>
  <si>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</si>
  <si>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</si>
  <si>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</si>
  <si>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</si>
  <si>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</si>
  <si>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</si>
  <si>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</si>
  <si>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</si>
  <si>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</si>
  <si>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</si>
  <si>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</si>
  <si>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</si>
  <si>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</si>
  <si>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</si>
  <si>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</si>
  <si>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</si>
  <si>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</si>
  <si>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</si>
  <si>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</si>
  <si>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</si>
  <si>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</si>
  <si>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</si>
  <si>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</si>
  <si>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</si>
  <si>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</si>
  <si>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</si>
  <si>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</si>
  <si>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</si>
  <si>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</si>
  <si>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</si>
  <si>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</si>
  <si>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</si>
  <si>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</si>
  <si>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</si>
  <si>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</si>
  <si>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</si>
  <si>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</si>
  <si>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</si>
  <si>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</si>
  <si>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</si>
  <si>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</si>
  <si>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</si>
  <si>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</si>
  <si>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</si>
  <si>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</si>
  <si>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</si>
  <si>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</si>
  <si>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2022-06-16 09:13:22</t>
  </si>
  <si>
    <t>es</t>
  </si>
  <si>
    <t>2022-06-16 07:58:05</t>
  </si>
  <si>
    <t>B17364</t>
  </si>
  <si>
    <t>Andrés Zamora Víquez</t>
  </si>
  <si>
    <t>Sí</t>
  </si>
  <si>
    <t>No</t>
  </si>
  <si>
    <t>Me chocaba el horario con el trabajo</t>
  </si>
  <si>
    <t>II semestre del 2do año</t>
  </si>
  <si>
    <t>IS: Ingeniería de Software</t>
  </si>
  <si>
    <t>Muy alto 5</t>
  </si>
  <si>
    <t>He mejorado mucho: 5</t>
  </si>
  <si>
    <t>2022-06-16 10:20:56</t>
  </si>
  <si>
    <t>2022-06-16 10:16:02</t>
  </si>
  <si>
    <t>C02063</t>
  </si>
  <si>
    <t>Gabriel Antonio Chacón Garro</t>
  </si>
  <si>
    <t>II semestre del 1er año</t>
  </si>
  <si>
    <t>Parcialmente</t>
  </si>
  <si>
    <t>Bajo impacto</t>
  </si>
  <si>
    <t>Alto impacto</t>
  </si>
  <si>
    <t>No asistí</t>
  </si>
  <si>
    <t>ITI: Ingeniería de Tecnologías de la Información</t>
  </si>
  <si>
    <t>Muy difícil: 5</t>
  </si>
  <si>
    <t>Muy bajo 1</t>
  </si>
  <si>
    <t>No he mejorado: 1</t>
  </si>
  <si>
    <t>Tal vez mejor distribución de cursos para el segundo año, el semestre IV de la carrera se puede hacer muy pesado</t>
  </si>
  <si>
    <t>2022-06-16 11:03:06</t>
  </si>
  <si>
    <t>N/A</t>
  </si>
  <si>
    <t>2022-06-16 12:54:50</t>
  </si>
  <si>
    <t>2022-06-16 12:45:15</t>
  </si>
  <si>
    <t>C04397</t>
  </si>
  <si>
    <t>Randall Esteban Lopez Varela</t>
  </si>
  <si>
    <t>I semestre del 2do año</t>
  </si>
  <si>
    <t>5 - Muy útil</t>
  </si>
  <si>
    <t>2022-06-16 13:47:18</t>
  </si>
  <si>
    <t>2022-06-16 14:56:04</t>
  </si>
  <si>
    <t>2022-06-16 18:07:56</t>
  </si>
  <si>
    <t>2022-06-16 17:53:23</t>
  </si>
  <si>
    <t>c02768</t>
  </si>
  <si>
    <t>Jeremy Espinoza Madrigal</t>
  </si>
  <si>
    <t>Ningún impacto</t>
  </si>
  <si>
    <t>1 - Nada útil</t>
  </si>
  <si>
    <t>Muy fácil: 1</t>
  </si>
  <si>
    <t>Por el amor a Jesucristo, que sucede con el 4 semestre? Demasiado pesado, en cuanto a cursos:
Programacion 1: por que enseñan un lenguaje orientado a objetos al principio? Java? No tiene sentido, el estudiante no tiene idea de que es un objeto y el main es un clase, deberian de comenzar por C y recomendar a los estudiantes trabajar en linux desde un principio, junto al uso de una IDE comoda y no muy complicada (sublime, VS) porque hablando con compañeros, hay profesores que utilizan la terminal para programar o una IDE tan incomoda como blue J, y eso solo complica el aprendizaje
Nota: ya he hablado con 5 profesores que estan a favor de remover Java y reemplazarlo con C, la escuela deberia de revisar eos
P.I Ensamblador: no se si la U tiene un convenio con Intel y por eso obligan a que el curso sea con SIMICS pero ninguno de los que conozco que llevaron ese curso con SIMICS les parecio util o aprendieron algo, es mas una incomodidad que una oportunidad para aprendeer a bajo nivel, interfiere un poco con el aprendizaje de Lenguaje Ensamblador ya que se espera mayor nivel ya que son 2 cursos con el mismo lenguaje
Analisis de Algoritmos: seria mucho mejor si los profesores dieran ejemplos de como programar (no todas) las estrucutras de datos mencionadas en clase, si las tuvieran a todas en algun tipo de repositorio de la universidad o por lo menos como tareas
Deberian de reemplazar todos los examenes por proeyectos, es la forma mas menos efectiva de evaluar...</t>
  </si>
  <si>
    <t>2022-06-16 23:51:11</t>
  </si>
  <si>
    <t>2022-06-17 07:36:53</t>
  </si>
  <si>
    <t>2022-06-17 11:25:25</t>
  </si>
  <si>
    <t>2022-06-17 11:18:00</t>
  </si>
  <si>
    <t>C04285</t>
  </si>
  <si>
    <t>Daniel Lizano Morales</t>
  </si>
  <si>
    <t>quitar profesores ineficientes y repensar cursos como ensamblador y arqui</t>
  </si>
  <si>
    <t>2022-06-17 12:15:11</t>
  </si>
  <si>
    <t>2022-06-17 11:25:56</t>
  </si>
  <si>
    <t>C01795</t>
  </si>
  <si>
    <t>Esteban Rodrigo Castañeda Blanco</t>
  </si>
  <si>
    <t>I semestre del 1er año</t>
  </si>
  <si>
    <t>2022-06-17 12:05:11</t>
  </si>
  <si>
    <t>2022-06-17 12:01:06</t>
  </si>
  <si>
    <t>C04185</t>
  </si>
  <si>
    <t>Henry Gabriel Ledezma Vindas</t>
  </si>
  <si>
    <t>No sabía que habían actividades</t>
  </si>
  <si>
    <t>Muchos estudiantes, inclusive profesores, comentan que el curso de programación paralela y concurrente debería de impartirse de una forma muy distinta a la actual</t>
  </si>
  <si>
    <t>2022-06-18 08:16:58</t>
  </si>
  <si>
    <t>2022-06-18 08:19:04</t>
  </si>
  <si>
    <t>C02428</t>
  </si>
  <si>
    <t>Lizeth Daniela Corrales Cortés</t>
  </si>
  <si>
    <t>2022-06-19 07:41:32</t>
  </si>
  <si>
    <t>2022-06-19 07:37:51</t>
  </si>
  <si>
    <t>B96360</t>
  </si>
  <si>
    <t>Carlos Alberto Ramírez Masís</t>
  </si>
  <si>
    <t>CC: Ciencias de la Computación</t>
  </si>
  <si>
    <t>2022-06-20 01:10:14</t>
  </si>
  <si>
    <t>2022-06-20 11:39:10</t>
  </si>
  <si>
    <t>2022-06-20 11:20:29</t>
  </si>
  <si>
    <t>B93034</t>
  </si>
  <si>
    <t>Michelle Brooke Fonseca Caarillo</t>
  </si>
  <si>
    <t>Los cursos son demasiado pesados para llevarlos en bloque completo, distribuir mejor el plan de estudios porque a muchas personas les afecta la salud mental y el autoestima el "estar atrasados" en la carrera, aunque no sea así.</t>
  </si>
  <si>
    <t>2022-06-20 11:42:22</t>
  </si>
  <si>
    <t>2022-06-20 11:20:39</t>
  </si>
  <si>
    <t>B97388</t>
  </si>
  <si>
    <t>Julián Sedó Álvarez</t>
  </si>
  <si>
    <t>Distribuir mejor los bloques, muy pocas personas logran llevar el bloque completo, considero que muchas materias utilizan más tiempo del que se prevee en la cantidad de créditos, por ejemplo, los de programación. Al llevar menos créditos las personas perciben eso como un 'atraso', pero tiene que ser necesario porque sacrificar la salud mental y física no merece la pena.</t>
  </si>
  <si>
    <t>2022-06-20 12:52:25</t>
  </si>
  <si>
    <t>2022-06-20 12:42:53</t>
  </si>
  <si>
    <t>C03821</t>
  </si>
  <si>
    <t>Génesis Herrera Knyght</t>
  </si>
  <si>
    <t>cursos llevados fuera de la U que complementan con algunas materias del énfasis</t>
  </si>
  <si>
    <t>2022-06-20 14:19:47</t>
  </si>
  <si>
    <t>2022-06-20 15:44:29</t>
  </si>
  <si>
    <t>2022-06-20 15:40:16</t>
  </si>
  <si>
    <t>B66060</t>
  </si>
  <si>
    <t>Pablo César Rodríguez Navarro</t>
  </si>
  <si>
    <t>2022-06-20 16:36:33</t>
  </si>
  <si>
    <t>2022-06-20 16:31:38</t>
  </si>
  <si>
    <t>2022-06-21 13:42:16</t>
  </si>
  <si>
    <t>2022-06-21 13:35:10</t>
  </si>
  <si>
    <t>C03907</t>
  </si>
  <si>
    <t>Adrian Hütt Orozco</t>
  </si>
  <si>
    <t>Porque ya con hablar con los docentes estaba decidido</t>
  </si>
  <si>
    <t>2022-06-21 13:42:36</t>
  </si>
  <si>
    <t>2022-06-21 13:35:39</t>
  </si>
  <si>
    <t>C01103</t>
  </si>
  <si>
    <t>Gabriel Bermejo Herrera</t>
  </si>
  <si>
    <t>No me enteré de la información</t>
  </si>
  <si>
    <t>2022-06-21 13:50:13</t>
  </si>
  <si>
    <t>2022-06-21 13:43:30</t>
  </si>
  <si>
    <t>B81312</t>
  </si>
  <si>
    <t>Josué Briceño Sáenz</t>
  </si>
  <si>
    <t>Evaluar la calidad de enseñanza de algunos profesores</t>
  </si>
  <si>
    <t>2022-06-21 14:20:06</t>
  </si>
  <si>
    <t>2022-06-21 14:09:57</t>
  </si>
  <si>
    <t>C05869</t>
  </si>
  <si>
    <t>José Andrey Pereira Zúñiga</t>
  </si>
  <si>
    <t>Me gustaría que en vez de usar Java en Progra 1 se aprendiera Python y se analizaran los paradigmas de los mismos</t>
  </si>
  <si>
    <t>2022-06-22 15:10:49</t>
  </si>
  <si>
    <t>2022-06-22 15:05:55</t>
  </si>
  <si>
    <t>B98423</t>
  </si>
  <si>
    <t>Michael Venegas Rojas</t>
  </si>
  <si>
    <t>Interes en la ciberseguridad</t>
  </si>
  <si>
    <t>2022-06-22 16:22:54</t>
  </si>
  <si>
    <t>2022-06-22 16:12:21</t>
  </si>
  <si>
    <t>C06044</t>
  </si>
  <si>
    <t>Esteban Porras Herrera</t>
  </si>
  <si>
    <t>El primer curso de programación está muy mal estructurado. En él se asume que los estudiantes ya saben programar, cuando en la mayoría de los casos estos jamás han tenido algún contacto con esta actividad. Sería mejor que se enseñara de primero el lenguaje C o C++, pero no Java.</t>
  </si>
  <si>
    <t>2022-06-22 16:46:36</t>
  </si>
  <si>
    <t>2022-06-22 16:43:39</t>
  </si>
  <si>
    <t>C07802</t>
  </si>
  <si>
    <t>Dylan Gabriel Tenorio Rojas</t>
  </si>
  <si>
    <t>Las tareas de los cursos no me dejaron tiempo extra para poder asistir</t>
  </si>
  <si>
    <t>2022-06-22 16:58:43</t>
  </si>
  <si>
    <t>2022-06-22 16:55:21</t>
  </si>
  <si>
    <t>C03200</t>
  </si>
  <si>
    <t>Richard Alberto Garita Aguilar</t>
  </si>
  <si>
    <t>2022-06-22 22:05:29</t>
  </si>
  <si>
    <t>2022-06-22 22:02:19</t>
  </si>
  <si>
    <t>C06133</t>
  </si>
  <si>
    <t>Carlos Andrés Quesada Estrada</t>
  </si>
  <si>
    <t>Por razones de tiempo, ya que me chocaban con dos cursos los miércoles.</t>
  </si>
  <si>
    <t>Interés de acuerdo con mis expectativas de la carrera</t>
  </si>
  <si>
    <t>2022-06-23 13:44:20</t>
  </si>
  <si>
    <t>2022-06-23 13:17:17</t>
  </si>
  <si>
    <t>B92301</t>
  </si>
  <si>
    <t>Luis Angel Cordero Garrido</t>
  </si>
  <si>
    <t>Recomendación de conocidos  graduados o de la misma área</t>
  </si>
  <si>
    <t>2022-06-23 16:31:49</t>
  </si>
  <si>
    <t>2022-06-23 16:27:39</t>
  </si>
  <si>
    <t>C04396</t>
  </si>
  <si>
    <t>Israel López Vallecillo</t>
  </si>
  <si>
    <t>Debía de atender a clases de cursos universitarios en los horarios establecidos.</t>
  </si>
  <si>
    <t>Mayor compatibilidad con segunda carrera simultánea (estadística)</t>
  </si>
  <si>
    <t>2022-06-24 10:31:05</t>
  </si>
  <si>
    <t>2022-06-24 10:16:05</t>
  </si>
  <si>
    <t>C08379</t>
  </si>
  <si>
    <t>Eithel José Vega Robles</t>
  </si>
  <si>
    <t>2022-06-27 00:20:54</t>
  </si>
  <si>
    <t>2022-06-27 00:14:05</t>
  </si>
  <si>
    <t>C05582</t>
  </si>
  <si>
    <t>Joseph Fernando Núñez Solano</t>
  </si>
  <si>
    <t>No pude estar presencialmente por cuestiones del horarios, pero pude ver todas las grabaciones.</t>
  </si>
  <si>
    <t>Mis intereses personales</t>
  </si>
  <si>
    <t>Me parece correcto, pero creo que deberían separar el curso de Programación Paralela y Concurrente en por lo menos dos cursos diferentes.</t>
  </si>
  <si>
    <t>2022-06-27 01:24:36</t>
  </si>
  <si>
    <t>2022-06-27 06:17:46</t>
  </si>
  <si>
    <t>2022-06-27 06:13:51</t>
  </si>
  <si>
    <t>C05610</t>
  </si>
  <si>
    <t>Christopher Alberto Obando Salgado</t>
  </si>
  <si>
    <t>2022-06-27 07:18:17</t>
  </si>
  <si>
    <t>2022-06-28 15:43:32</t>
  </si>
  <si>
    <t>2022-06-28 15:37:00</t>
  </si>
  <si>
    <t>B96191</t>
  </si>
  <si>
    <t>Oscar Quesada Webb</t>
  </si>
  <si>
    <t>Mis gustos personales</t>
  </si>
  <si>
    <t>Creo que los énfasis carecen de sentido, la mayoría de los estudiantes van a terminar en un trabajo normal y luego se va a adaptar sus carrera según sus gusto e intereses, además la elección de enfasis no provee ningun beneficio, pues muchos de los cursos los llevan la mayoria de los estudiantes.</t>
  </si>
  <si>
    <t>La calidad de profesores deja mucho que desear, y las metodologías que se utilizan igual. Son muy pocos los profesores que si se preocupan por que los estudiantes aprendan, la gran mayoría parece que solo están para ganar un salario.</t>
  </si>
  <si>
    <t>2022-06-28 16:19:52</t>
  </si>
  <si>
    <t>2022-06-28 16:17:24</t>
  </si>
  <si>
    <t>B54956</t>
  </si>
  <si>
    <t>Jason Murillo Madrigal</t>
  </si>
  <si>
    <t>Tiempo</t>
  </si>
  <si>
    <t>2022-06-29 15:39:36</t>
  </si>
  <si>
    <t>2022-06-29 15:35:32</t>
  </si>
  <si>
    <t>C06103</t>
  </si>
  <si>
    <t>Javier Pupo Acosta</t>
  </si>
  <si>
    <t>2022-06-29 20:38:11</t>
  </si>
  <si>
    <t>2022-06-29 20:09:25</t>
  </si>
  <si>
    <t>C07677</t>
  </si>
  <si>
    <t>Hansell Solís Ramírez</t>
  </si>
  <si>
    <t>Actualizar cursos,  por ejemplo: lenguaje ensamblador, considero que es importante tener un conocimiento al respecto; pero su proyecto integrador, podría cambiarse con el fin de hondar en lenguajes que se usen más en la actualidad.</t>
  </si>
  <si>
    <t>2022-06-29 20:40:20</t>
  </si>
  <si>
    <t>2022-06-29 20:27:49</t>
  </si>
  <si>
    <t>B96557</t>
  </si>
  <si>
    <t>Randy Steven Robles Vega</t>
  </si>
  <si>
    <t>2022-06-29 22:31:27</t>
  </si>
  <si>
    <t>2022-06-29 22:25:14</t>
  </si>
  <si>
    <t>C08168</t>
  </si>
  <si>
    <t>Maria Judith Vargas Esquivel</t>
  </si>
  <si>
    <t>2022-06-30 13:37:56</t>
  </si>
  <si>
    <t>2022-06-30 13:34:35</t>
  </si>
  <si>
    <t>C01377</t>
  </si>
  <si>
    <t>Cheryl Bryden Watson</t>
  </si>
  <si>
    <t>2022-06-30 15:46:43</t>
  </si>
  <si>
    <t>2022-06-30 15:41:22</t>
  </si>
  <si>
    <t>C03376</t>
  </si>
  <si>
    <t>Gabriel Alfonso González Flores</t>
  </si>
  <si>
    <t>Familiares</t>
  </si>
  <si>
    <t>2022-06-30 15:45:07</t>
  </si>
  <si>
    <t>2022-06-30 15:41:50</t>
  </si>
  <si>
    <t>B85610</t>
  </si>
  <si>
    <t>Fabián Navarro Parraga</t>
  </si>
  <si>
    <t>2022-06-30 17:36:52</t>
  </si>
  <si>
    <t>2022-06-30 17:34:04</t>
  </si>
  <si>
    <t>B81506</t>
  </si>
  <si>
    <t>Gerardo Josué Campos Badilla</t>
  </si>
  <si>
    <t>2022-06-30 19:35:33</t>
  </si>
  <si>
    <t>2022-06-30 22:12:35</t>
  </si>
  <si>
    <t>2022-06-30 21:43:05</t>
  </si>
  <si>
    <t>C01309</t>
  </si>
  <si>
    <t>Saindell Sabrina Brenes Hernández</t>
  </si>
  <si>
    <t>El segundo semestre del segundo año es demasiado pesado, tal vez dejar menos carga de videos o trabajos puede ayudar a llevarlo mejor.</t>
  </si>
  <si>
    <t>2022-07-03 08:26:18</t>
  </si>
  <si>
    <t>2022-07-03 08:22:19</t>
  </si>
  <si>
    <t>B97741</t>
  </si>
  <si>
    <t>Gian Franco Soto Palma</t>
  </si>
  <si>
    <t>2022-07-04 08:36:01</t>
  </si>
  <si>
    <t>2022-07-04 08:32:02</t>
  </si>
  <si>
    <t>C07901</t>
  </si>
  <si>
    <t>Francisco Ulate Alpízar</t>
  </si>
  <si>
    <t>Se me olvidó asistir a las llamadas</t>
  </si>
  <si>
    <t>2022-07-04 10:17:31</t>
  </si>
  <si>
    <t>2022-07-04 10:11:51</t>
  </si>
  <si>
    <t>B80934</t>
  </si>
  <si>
    <t>Kevin Jesús Barboza Ramírez</t>
  </si>
  <si>
    <t>2022-07-04 11:24:46</t>
  </si>
  <si>
    <t>2022-07-04 11:19:52</t>
  </si>
  <si>
    <t>B94308</t>
  </si>
  <si>
    <t>Daniel Antonio López Alvarado</t>
  </si>
  <si>
    <t>2022-07-04 22:37:40</t>
  </si>
  <si>
    <t>2022-07-04 22:34:08</t>
  </si>
  <si>
    <t>C04668</t>
  </si>
  <si>
    <t>José Andrés Matarrita Miranda</t>
  </si>
  <si>
    <t>2022-07-05 08:42:19</t>
  </si>
  <si>
    <t>2022-07-05 08:39:03</t>
  </si>
  <si>
    <t>C05126</t>
  </si>
  <si>
    <t>Esteban José Mora Garcia</t>
  </si>
  <si>
    <t>2022-07-05 21:59:11</t>
  </si>
  <si>
    <t>2022-07-05 21:51:08</t>
  </si>
  <si>
    <t>B96396</t>
  </si>
  <si>
    <t>Andrea María Ramírez Rojas</t>
  </si>
  <si>
    <t>Ya había asistido a las del año pasado, además de que ya tenía  claro el énfasis que quería.</t>
  </si>
  <si>
    <t>Es fundamental que la enseñanza sobre elaboración de pseudocódigo y demás elementos para el diseño de algoritmos(ej: diagramas UMl y de flujo), sea dada en cursos iniciales como lo son introducción a la computación o programación I, ya que facilita la elaboración y entendimiento de código. Además, hay cursos cuya materia necesita ser actualizada, como lo es el caso del curso de Fundamentos de Arquitectura.</t>
  </si>
  <si>
    <t>Blanco</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</si>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</sst>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amily val="2"/>
      <charset val="1"/>
    </font>
    <font>
      <b/>
      <sz val="11"/>
      <color theme="1"/>
      <name val="Arial"/>
      <family val="2"/>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J57"/>
  <sheetViews>
    <sheetView zoomScaleNormal="100" workbookViewId="0">
      <selection activeCell="J1" sqref="J1"/>
    </sheetView>
  </sheetViews>
  <sheetFormatPr baseColWidth="10" defaultRowHeight="12.75" x14ac:dyDescent="0.35"/>
  <cols>
    <col min="1" max="1" width="11.46484375"/>
    <col min="2" max="2" width="17.59765625" bestFit="1" customWidth="1"/>
    <col min="3" max="5" width="11.46484375"/>
    <col min="6" max="6" width="17.59765625" bestFit="1" customWidth="1"/>
    <col min="7" max="7" width="21.53125" bestFit="1" customWidth="1"/>
    <col min="8" max="1024" width="11.46484375"/>
  </cols>
  <sheetData>
    <row r="1" spans="1:8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x14ac:dyDescent="0.35">
      <c r="A2">
        <v>203</v>
      </c>
      <c r="B2" t="s">
        <v>88</v>
      </c>
      <c r="C2">
        <v>2</v>
      </c>
      <c r="D2" t="s">
        <v>89</v>
      </c>
      <c r="E2">
        <v>1053537938</v>
      </c>
      <c r="F2" t="s">
        <v>90</v>
      </c>
      <c r="G2" t="s">
        <v>88</v>
      </c>
      <c r="H2" t="s">
        <v>91</v>
      </c>
      <c r="I2" t="s">
        <v>92</v>
      </c>
      <c r="J2" t="s">
        <v>93</v>
      </c>
      <c r="K2" t="s">
        <v>94</v>
      </c>
      <c r="L2" t="s">
        <v>94</v>
      </c>
      <c r="M2" t="s">
        <v>94</v>
      </c>
      <c r="N2" t="s">
        <v>94</v>
      </c>
      <c r="O2" t="s">
        <v>94</v>
      </c>
      <c r="Q2" t="s">
        <v>94</v>
      </c>
      <c r="R2" t="s">
        <v>95</v>
      </c>
      <c r="S2" t="s">
        <v>96</v>
      </c>
      <c r="U2" t="s">
        <v>93</v>
      </c>
      <c r="V2" t="s">
        <v>93</v>
      </c>
      <c r="W2" t="s">
        <v>94</v>
      </c>
      <c r="X2" t="s">
        <v>93</v>
      </c>
      <c r="Y2" t="s">
        <v>93</v>
      </c>
      <c r="Z2" t="s">
        <v>94</v>
      </c>
      <c r="AA2" t="s">
        <v>94</v>
      </c>
      <c r="AK2" t="s">
        <v>97</v>
      </c>
      <c r="AL2">
        <v>3</v>
      </c>
      <c r="AM2">
        <v>3</v>
      </c>
      <c r="AN2">
        <v>3</v>
      </c>
      <c r="AO2">
        <v>4</v>
      </c>
      <c r="AP2" t="s">
        <v>98</v>
      </c>
      <c r="AQ2">
        <v>4</v>
      </c>
      <c r="AR2">
        <v>4</v>
      </c>
      <c r="AS2">
        <v>3</v>
      </c>
      <c r="AT2">
        <v>4</v>
      </c>
      <c r="AU2">
        <v>3</v>
      </c>
      <c r="AV2">
        <v>3</v>
      </c>
      <c r="AW2">
        <v>3</v>
      </c>
      <c r="AX2">
        <v>4</v>
      </c>
      <c r="AY2" t="s">
        <v>98</v>
      </c>
      <c r="AZ2">
        <v>3</v>
      </c>
      <c r="BA2">
        <v>3</v>
      </c>
      <c r="BB2" t="s">
        <v>98</v>
      </c>
      <c r="BC2">
        <v>4</v>
      </c>
      <c r="BD2">
        <v>4</v>
      </c>
      <c r="BE2">
        <v>3</v>
      </c>
      <c r="BF2" t="s">
        <v>98</v>
      </c>
      <c r="BG2">
        <v>4</v>
      </c>
      <c r="BH2">
        <v>4</v>
      </c>
      <c r="BI2" t="s">
        <v>98</v>
      </c>
      <c r="BJ2" t="s">
        <v>99</v>
      </c>
      <c r="BK2" t="s">
        <v>99</v>
      </c>
      <c r="BL2" t="s">
        <v>99</v>
      </c>
      <c r="BM2" t="s">
        <v>99</v>
      </c>
      <c r="BN2" t="s">
        <v>99</v>
      </c>
      <c r="BO2">
        <v>4</v>
      </c>
      <c r="BP2">
        <v>4</v>
      </c>
      <c r="BR2">
        <v>134.46</v>
      </c>
      <c r="BS2">
        <v>39.14</v>
      </c>
      <c r="CF2">
        <v>95.32</v>
      </c>
    </row>
    <row r="3" spans="1:88" x14ac:dyDescent="0.35">
      <c r="A3">
        <v>204</v>
      </c>
      <c r="B3" t="s">
        <v>100</v>
      </c>
      <c r="C3">
        <v>2</v>
      </c>
      <c r="D3" t="s">
        <v>89</v>
      </c>
      <c r="E3">
        <v>1617470742</v>
      </c>
      <c r="F3" t="s">
        <v>101</v>
      </c>
      <c r="G3" t="s">
        <v>100</v>
      </c>
      <c r="H3" t="s">
        <v>102</v>
      </c>
      <c r="I3" t="s">
        <v>103</v>
      </c>
      <c r="J3" t="s">
        <v>93</v>
      </c>
      <c r="K3" t="s">
        <v>94</v>
      </c>
      <c r="L3" t="s">
        <v>94</v>
      </c>
      <c r="M3" t="s">
        <v>93</v>
      </c>
      <c r="N3" t="s">
        <v>93</v>
      </c>
      <c r="O3" t="s">
        <v>93</v>
      </c>
      <c r="Q3" t="s">
        <v>93</v>
      </c>
      <c r="S3" t="s">
        <v>104</v>
      </c>
      <c r="T3" t="s">
        <v>105</v>
      </c>
      <c r="U3" t="s">
        <v>94</v>
      </c>
      <c r="V3" t="s">
        <v>93</v>
      </c>
      <c r="W3" t="s">
        <v>93</v>
      </c>
      <c r="X3" t="s">
        <v>94</v>
      </c>
      <c r="Y3" t="s">
        <v>93</v>
      </c>
      <c r="Z3" t="s">
        <v>94</v>
      </c>
      <c r="AA3" t="s">
        <v>94</v>
      </c>
      <c r="AC3" t="s">
        <v>106</v>
      </c>
      <c r="AD3" t="s">
        <v>107</v>
      </c>
      <c r="AE3" t="s">
        <v>106</v>
      </c>
      <c r="AF3">
        <v>4</v>
      </c>
      <c r="AG3">
        <v>3</v>
      </c>
      <c r="AH3">
        <v>4</v>
      </c>
      <c r="AI3" t="s">
        <v>108</v>
      </c>
      <c r="AK3" t="s">
        <v>109</v>
      </c>
      <c r="AL3">
        <v>3</v>
      </c>
      <c r="AM3">
        <v>4</v>
      </c>
      <c r="AN3">
        <v>4</v>
      </c>
      <c r="AO3" t="s">
        <v>110</v>
      </c>
      <c r="AP3">
        <v>3</v>
      </c>
      <c r="AQ3">
        <v>4</v>
      </c>
      <c r="AR3">
        <v>4</v>
      </c>
      <c r="AS3">
        <v>3</v>
      </c>
      <c r="AT3">
        <v>2</v>
      </c>
      <c r="AU3">
        <v>2</v>
      </c>
      <c r="AV3">
        <v>4</v>
      </c>
      <c r="AW3">
        <v>3</v>
      </c>
      <c r="AX3">
        <v>2</v>
      </c>
      <c r="AY3">
        <v>3</v>
      </c>
      <c r="AZ3">
        <v>4</v>
      </c>
      <c r="BA3">
        <v>3</v>
      </c>
      <c r="BB3" t="s">
        <v>98</v>
      </c>
      <c r="BC3">
        <v>3</v>
      </c>
      <c r="BD3">
        <v>3</v>
      </c>
      <c r="BE3" t="s">
        <v>111</v>
      </c>
      <c r="BF3">
        <v>4</v>
      </c>
      <c r="BG3">
        <v>2</v>
      </c>
      <c r="BH3">
        <v>3</v>
      </c>
      <c r="BI3">
        <v>3</v>
      </c>
      <c r="BJ3">
        <v>4</v>
      </c>
      <c r="BK3">
        <v>2</v>
      </c>
      <c r="BL3">
        <v>3</v>
      </c>
      <c r="BM3">
        <v>4</v>
      </c>
      <c r="BN3">
        <v>4</v>
      </c>
      <c r="BO3" t="s">
        <v>99</v>
      </c>
      <c r="BP3" t="s">
        <v>112</v>
      </c>
      <c r="BQ3" t="s">
        <v>113</v>
      </c>
      <c r="BR3">
        <v>293.41000000000003</v>
      </c>
      <c r="BS3">
        <v>100.97</v>
      </c>
      <c r="CF3">
        <v>192.44</v>
      </c>
    </row>
    <row r="4" spans="1:88" x14ac:dyDescent="0.35">
      <c r="A4">
        <v>205</v>
      </c>
      <c r="C4">
        <v>0</v>
      </c>
      <c r="D4" t="s">
        <v>89</v>
      </c>
      <c r="E4">
        <v>925874450</v>
      </c>
      <c r="F4" t="s">
        <v>114</v>
      </c>
      <c r="G4" t="s">
        <v>114</v>
      </c>
      <c r="J4" t="s">
        <v>115</v>
      </c>
      <c r="K4" t="s">
        <v>115</v>
      </c>
      <c r="L4" t="s">
        <v>115</v>
      </c>
      <c r="M4" t="s">
        <v>115</v>
      </c>
      <c r="N4" t="s">
        <v>115</v>
      </c>
      <c r="O4" t="s">
        <v>115</v>
      </c>
      <c r="Q4" t="s">
        <v>115</v>
      </c>
      <c r="U4" t="s">
        <v>115</v>
      </c>
      <c r="V4" t="s">
        <v>115</v>
      </c>
      <c r="W4" t="s">
        <v>115</v>
      </c>
      <c r="X4" t="s">
        <v>115</v>
      </c>
      <c r="Y4" t="s">
        <v>115</v>
      </c>
      <c r="Z4" t="s">
        <v>115</v>
      </c>
      <c r="AA4" t="s">
        <v>115</v>
      </c>
      <c r="BR4">
        <v>0</v>
      </c>
    </row>
    <row r="5" spans="1:88" x14ac:dyDescent="0.35">
      <c r="A5">
        <v>206</v>
      </c>
      <c r="B5" t="s">
        <v>116</v>
      </c>
      <c r="C5">
        <v>2</v>
      </c>
      <c r="D5" t="s">
        <v>89</v>
      </c>
      <c r="E5">
        <v>803313417</v>
      </c>
      <c r="F5" t="s">
        <v>117</v>
      </c>
      <c r="G5" t="s">
        <v>116</v>
      </c>
      <c r="H5" t="s">
        <v>118</v>
      </c>
      <c r="I5" t="s">
        <v>119</v>
      </c>
      <c r="J5" t="s">
        <v>93</v>
      </c>
      <c r="K5" t="s">
        <v>93</v>
      </c>
      <c r="L5" t="s">
        <v>94</v>
      </c>
      <c r="M5" t="s">
        <v>94</v>
      </c>
      <c r="N5" t="s">
        <v>93</v>
      </c>
      <c r="O5" t="s">
        <v>93</v>
      </c>
      <c r="Q5" t="s">
        <v>93</v>
      </c>
      <c r="S5" t="s">
        <v>120</v>
      </c>
      <c r="T5" t="s">
        <v>105</v>
      </c>
      <c r="U5" t="s">
        <v>93</v>
      </c>
      <c r="V5" t="s">
        <v>94</v>
      </c>
      <c r="W5" t="s">
        <v>94</v>
      </c>
      <c r="X5" t="s">
        <v>93</v>
      </c>
      <c r="Y5" t="s">
        <v>93</v>
      </c>
      <c r="Z5" t="s">
        <v>94</v>
      </c>
      <c r="AA5" t="s">
        <v>93</v>
      </c>
      <c r="AC5" t="s">
        <v>107</v>
      </c>
      <c r="AD5" t="s">
        <v>108</v>
      </c>
      <c r="AE5" t="s">
        <v>106</v>
      </c>
      <c r="AF5" t="s">
        <v>121</v>
      </c>
      <c r="AG5">
        <v>4</v>
      </c>
      <c r="AH5" t="s">
        <v>121</v>
      </c>
      <c r="AI5">
        <v>3</v>
      </c>
      <c r="AK5" t="s">
        <v>97</v>
      </c>
      <c r="AL5">
        <v>2</v>
      </c>
      <c r="AM5">
        <v>3</v>
      </c>
      <c r="AN5">
        <v>3</v>
      </c>
      <c r="AO5" t="s">
        <v>110</v>
      </c>
      <c r="AP5">
        <v>4</v>
      </c>
      <c r="AQ5" t="s">
        <v>98</v>
      </c>
      <c r="AR5">
        <v>3</v>
      </c>
      <c r="AS5">
        <v>3</v>
      </c>
      <c r="AT5">
        <v>3</v>
      </c>
      <c r="AU5">
        <v>3</v>
      </c>
      <c r="AV5">
        <v>2</v>
      </c>
      <c r="AW5">
        <v>3</v>
      </c>
      <c r="AX5">
        <v>4</v>
      </c>
      <c r="AY5" t="s">
        <v>98</v>
      </c>
      <c r="AZ5">
        <v>4</v>
      </c>
      <c r="BA5" t="s">
        <v>98</v>
      </c>
      <c r="BB5">
        <v>4</v>
      </c>
      <c r="BC5">
        <v>4</v>
      </c>
      <c r="BD5">
        <v>4</v>
      </c>
      <c r="BE5">
        <v>4</v>
      </c>
      <c r="BF5">
        <v>3</v>
      </c>
      <c r="BG5">
        <v>4</v>
      </c>
      <c r="BH5">
        <v>3</v>
      </c>
      <c r="BI5" t="s">
        <v>98</v>
      </c>
      <c r="BJ5">
        <v>4</v>
      </c>
      <c r="BK5">
        <v>4</v>
      </c>
      <c r="BL5">
        <v>3</v>
      </c>
      <c r="BM5" t="s">
        <v>99</v>
      </c>
      <c r="BN5">
        <v>3</v>
      </c>
      <c r="BO5">
        <v>4</v>
      </c>
      <c r="BP5">
        <v>4</v>
      </c>
      <c r="BR5">
        <v>575.19000000000005</v>
      </c>
      <c r="BS5">
        <v>206.92</v>
      </c>
      <c r="CF5">
        <v>368.27</v>
      </c>
    </row>
    <row r="6" spans="1:88" x14ac:dyDescent="0.35">
      <c r="A6">
        <v>207</v>
      </c>
      <c r="C6">
        <v>0</v>
      </c>
      <c r="D6" t="s">
        <v>89</v>
      </c>
      <c r="E6">
        <v>1688090256</v>
      </c>
      <c r="F6" t="s">
        <v>122</v>
      </c>
      <c r="G6" t="s">
        <v>122</v>
      </c>
      <c r="J6" t="s">
        <v>115</v>
      </c>
      <c r="K6" t="s">
        <v>115</v>
      </c>
      <c r="L6" t="s">
        <v>115</v>
      </c>
      <c r="M6" t="s">
        <v>115</v>
      </c>
      <c r="N6" t="s">
        <v>115</v>
      </c>
      <c r="O6" t="s">
        <v>115</v>
      </c>
      <c r="Q6" t="s">
        <v>115</v>
      </c>
      <c r="U6" t="s">
        <v>115</v>
      </c>
      <c r="V6" t="s">
        <v>115</v>
      </c>
      <c r="W6" t="s">
        <v>115</v>
      </c>
      <c r="X6" t="s">
        <v>115</v>
      </c>
      <c r="Y6" t="s">
        <v>115</v>
      </c>
      <c r="Z6" t="s">
        <v>115</v>
      </c>
      <c r="AA6" t="s">
        <v>115</v>
      </c>
      <c r="BR6">
        <v>0</v>
      </c>
    </row>
    <row r="7" spans="1:88" x14ac:dyDescent="0.35">
      <c r="A7">
        <v>208</v>
      </c>
      <c r="C7">
        <v>0</v>
      </c>
      <c r="D7" t="s">
        <v>89</v>
      </c>
      <c r="E7">
        <v>433195164</v>
      </c>
      <c r="F7" t="s">
        <v>123</v>
      </c>
      <c r="G7" t="s">
        <v>123</v>
      </c>
      <c r="J7" t="s">
        <v>115</v>
      </c>
      <c r="K7" t="s">
        <v>115</v>
      </c>
      <c r="L7" t="s">
        <v>115</v>
      </c>
      <c r="M7" t="s">
        <v>115</v>
      </c>
      <c r="N7" t="s">
        <v>115</v>
      </c>
      <c r="O7" t="s">
        <v>115</v>
      </c>
      <c r="Q7" t="s">
        <v>115</v>
      </c>
      <c r="U7" t="s">
        <v>115</v>
      </c>
      <c r="V7" t="s">
        <v>115</v>
      </c>
      <c r="W7" t="s">
        <v>115</v>
      </c>
      <c r="X7" t="s">
        <v>115</v>
      </c>
      <c r="Y7" t="s">
        <v>115</v>
      </c>
      <c r="Z7" t="s">
        <v>115</v>
      </c>
      <c r="AA7" t="s">
        <v>115</v>
      </c>
      <c r="BR7">
        <v>0</v>
      </c>
    </row>
    <row r="8" spans="1:88" x14ac:dyDescent="0.35">
      <c r="A8">
        <v>209</v>
      </c>
      <c r="B8" t="s">
        <v>124</v>
      </c>
      <c r="C8">
        <v>2</v>
      </c>
      <c r="D8" t="s">
        <v>89</v>
      </c>
      <c r="E8">
        <v>2076355115</v>
      </c>
      <c r="F8" t="s">
        <v>125</v>
      </c>
      <c r="G8" t="s">
        <v>124</v>
      </c>
      <c r="H8" t="s">
        <v>126</v>
      </c>
      <c r="I8" t="s">
        <v>127</v>
      </c>
      <c r="J8" t="s">
        <v>93</v>
      </c>
      <c r="K8" t="s">
        <v>94</v>
      </c>
      <c r="L8" t="s">
        <v>94</v>
      </c>
      <c r="M8" t="s">
        <v>94</v>
      </c>
      <c r="N8" t="s">
        <v>94</v>
      </c>
      <c r="O8" t="s">
        <v>94</v>
      </c>
      <c r="Q8" t="s">
        <v>93</v>
      </c>
      <c r="S8" t="s">
        <v>96</v>
      </c>
      <c r="T8" t="s">
        <v>94</v>
      </c>
      <c r="U8" t="s">
        <v>93</v>
      </c>
      <c r="V8" t="s">
        <v>93</v>
      </c>
      <c r="W8" t="s">
        <v>94</v>
      </c>
      <c r="X8" t="s">
        <v>94</v>
      </c>
      <c r="Y8" t="s">
        <v>93</v>
      </c>
      <c r="Z8" t="s">
        <v>94</v>
      </c>
      <c r="AA8" t="s">
        <v>94</v>
      </c>
      <c r="AC8" t="s">
        <v>128</v>
      </c>
      <c r="AD8" t="s">
        <v>128</v>
      </c>
      <c r="AE8" t="s">
        <v>128</v>
      </c>
      <c r="AF8" t="s">
        <v>129</v>
      </c>
      <c r="AG8">
        <v>3</v>
      </c>
      <c r="AH8">
        <v>4</v>
      </c>
      <c r="AI8" t="s">
        <v>108</v>
      </c>
      <c r="AK8" t="s">
        <v>109</v>
      </c>
      <c r="AL8" t="s">
        <v>130</v>
      </c>
      <c r="AM8">
        <v>3</v>
      </c>
      <c r="AN8" t="s">
        <v>110</v>
      </c>
      <c r="AO8" t="s">
        <v>110</v>
      </c>
      <c r="AP8" t="s">
        <v>98</v>
      </c>
      <c r="AQ8" t="s">
        <v>98</v>
      </c>
      <c r="AR8">
        <v>3</v>
      </c>
      <c r="AS8">
        <v>3</v>
      </c>
      <c r="AT8">
        <v>2</v>
      </c>
      <c r="AU8" t="s">
        <v>111</v>
      </c>
      <c r="AV8" t="s">
        <v>98</v>
      </c>
      <c r="AW8" t="s">
        <v>98</v>
      </c>
      <c r="AX8">
        <v>4</v>
      </c>
      <c r="AY8">
        <v>2</v>
      </c>
      <c r="AZ8" t="s">
        <v>98</v>
      </c>
      <c r="BA8" t="s">
        <v>98</v>
      </c>
      <c r="BB8" t="s">
        <v>98</v>
      </c>
      <c r="BC8" t="s">
        <v>98</v>
      </c>
      <c r="BD8">
        <v>4</v>
      </c>
      <c r="BE8">
        <v>3</v>
      </c>
      <c r="BF8" t="s">
        <v>98</v>
      </c>
      <c r="BG8" t="s">
        <v>98</v>
      </c>
      <c r="BH8">
        <v>4</v>
      </c>
      <c r="BI8">
        <v>3</v>
      </c>
      <c r="BJ8">
        <v>4</v>
      </c>
      <c r="BK8" t="s">
        <v>99</v>
      </c>
      <c r="BL8" t="s">
        <v>99</v>
      </c>
      <c r="BM8" t="s">
        <v>99</v>
      </c>
      <c r="BN8">
        <v>3</v>
      </c>
      <c r="BO8" t="s">
        <v>99</v>
      </c>
      <c r="BP8" t="s">
        <v>99</v>
      </c>
      <c r="BQ8" t="s">
        <v>131</v>
      </c>
      <c r="BR8">
        <v>873.63</v>
      </c>
      <c r="BS8">
        <v>76.650000000000006</v>
      </c>
      <c r="CF8">
        <v>796.98</v>
      </c>
    </row>
    <row r="9" spans="1:88" x14ac:dyDescent="0.35">
      <c r="A9">
        <v>210</v>
      </c>
      <c r="C9">
        <v>0</v>
      </c>
      <c r="D9" t="s">
        <v>89</v>
      </c>
      <c r="E9">
        <v>679717809</v>
      </c>
      <c r="F9" t="s">
        <v>132</v>
      </c>
      <c r="G9" t="s">
        <v>132</v>
      </c>
      <c r="J9" t="s">
        <v>115</v>
      </c>
      <c r="K9" t="s">
        <v>115</v>
      </c>
      <c r="L9" t="s">
        <v>115</v>
      </c>
      <c r="M9" t="s">
        <v>115</v>
      </c>
      <c r="N9" t="s">
        <v>115</v>
      </c>
      <c r="O9" t="s">
        <v>115</v>
      </c>
      <c r="Q9" t="s">
        <v>115</v>
      </c>
      <c r="U9" t="s">
        <v>115</v>
      </c>
      <c r="V9" t="s">
        <v>115</v>
      </c>
      <c r="W9" t="s">
        <v>115</v>
      </c>
      <c r="X9" t="s">
        <v>115</v>
      </c>
      <c r="Y9" t="s">
        <v>115</v>
      </c>
      <c r="Z9" t="s">
        <v>115</v>
      </c>
      <c r="AA9" t="s">
        <v>115</v>
      </c>
      <c r="BR9">
        <v>0</v>
      </c>
    </row>
    <row r="10" spans="1:88" x14ac:dyDescent="0.35">
      <c r="A10">
        <v>211</v>
      </c>
      <c r="C10">
        <v>0</v>
      </c>
      <c r="D10" t="s">
        <v>89</v>
      </c>
      <c r="E10">
        <v>1156876944</v>
      </c>
      <c r="F10" t="s">
        <v>133</v>
      </c>
      <c r="G10" t="s">
        <v>133</v>
      </c>
      <c r="J10" t="s">
        <v>115</v>
      </c>
      <c r="K10" t="s">
        <v>115</v>
      </c>
      <c r="L10" t="s">
        <v>115</v>
      </c>
      <c r="M10" t="s">
        <v>115</v>
      </c>
      <c r="N10" t="s">
        <v>115</v>
      </c>
      <c r="O10" t="s">
        <v>115</v>
      </c>
      <c r="Q10" t="s">
        <v>115</v>
      </c>
      <c r="U10" t="s">
        <v>115</v>
      </c>
      <c r="V10" t="s">
        <v>115</v>
      </c>
      <c r="W10" t="s">
        <v>115</v>
      </c>
      <c r="X10" t="s">
        <v>115</v>
      </c>
      <c r="Y10" t="s">
        <v>115</v>
      </c>
      <c r="Z10" t="s">
        <v>115</v>
      </c>
      <c r="AA10" t="s">
        <v>115</v>
      </c>
      <c r="BR10">
        <v>0</v>
      </c>
    </row>
    <row r="11" spans="1:88" x14ac:dyDescent="0.35">
      <c r="A11">
        <v>212</v>
      </c>
      <c r="B11" t="s">
        <v>134</v>
      </c>
      <c r="C11">
        <v>2</v>
      </c>
      <c r="D11" t="s">
        <v>89</v>
      </c>
      <c r="E11">
        <v>327811124</v>
      </c>
      <c r="F11" t="s">
        <v>135</v>
      </c>
      <c r="G11" t="s">
        <v>134</v>
      </c>
      <c r="H11" t="s">
        <v>136</v>
      </c>
      <c r="I11" t="s">
        <v>137</v>
      </c>
      <c r="J11" t="s">
        <v>93</v>
      </c>
      <c r="K11" t="s">
        <v>94</v>
      </c>
      <c r="L11" t="s">
        <v>94</v>
      </c>
      <c r="M11" t="s">
        <v>94</v>
      </c>
      <c r="N11" t="s">
        <v>94</v>
      </c>
      <c r="O11" t="s">
        <v>93</v>
      </c>
      <c r="Q11" t="s">
        <v>93</v>
      </c>
      <c r="S11" t="s">
        <v>96</v>
      </c>
      <c r="T11" t="s">
        <v>93</v>
      </c>
      <c r="U11" t="s">
        <v>94</v>
      </c>
      <c r="V11" t="s">
        <v>94</v>
      </c>
      <c r="W11" t="s">
        <v>94</v>
      </c>
      <c r="X11" t="s">
        <v>93</v>
      </c>
      <c r="Y11" t="s">
        <v>94</v>
      </c>
      <c r="Z11" t="s">
        <v>93</v>
      </c>
      <c r="AA11" t="s">
        <v>94</v>
      </c>
      <c r="AC11" t="s">
        <v>107</v>
      </c>
      <c r="AD11" t="s">
        <v>128</v>
      </c>
      <c r="AE11" t="s">
        <v>107</v>
      </c>
      <c r="AF11">
        <v>4</v>
      </c>
      <c r="AG11" t="s">
        <v>108</v>
      </c>
      <c r="AH11" t="s">
        <v>121</v>
      </c>
      <c r="AI11" t="s">
        <v>121</v>
      </c>
      <c r="AK11" t="s">
        <v>97</v>
      </c>
      <c r="AL11">
        <v>2</v>
      </c>
      <c r="AM11">
        <v>2</v>
      </c>
      <c r="AN11">
        <v>2</v>
      </c>
      <c r="AO11" t="s">
        <v>110</v>
      </c>
      <c r="AP11">
        <v>4</v>
      </c>
      <c r="AQ11" t="s">
        <v>111</v>
      </c>
      <c r="AR11">
        <v>3</v>
      </c>
      <c r="AS11" t="s">
        <v>111</v>
      </c>
      <c r="AT11" t="s">
        <v>111</v>
      </c>
      <c r="AU11" t="s">
        <v>111</v>
      </c>
      <c r="AV11">
        <v>2</v>
      </c>
      <c r="AW11" t="s">
        <v>111</v>
      </c>
      <c r="AX11">
        <v>3</v>
      </c>
      <c r="AY11">
        <v>3</v>
      </c>
      <c r="AZ11" t="s">
        <v>98</v>
      </c>
      <c r="BA11" t="s">
        <v>98</v>
      </c>
      <c r="BB11">
        <v>4</v>
      </c>
      <c r="BC11" t="s">
        <v>98</v>
      </c>
      <c r="BD11">
        <v>3</v>
      </c>
      <c r="BE11">
        <v>3</v>
      </c>
      <c r="BF11" t="s">
        <v>98</v>
      </c>
      <c r="BG11" t="s">
        <v>98</v>
      </c>
      <c r="BH11">
        <v>3</v>
      </c>
      <c r="BI11" t="s">
        <v>98</v>
      </c>
      <c r="BJ11">
        <v>4</v>
      </c>
      <c r="BK11" t="s">
        <v>112</v>
      </c>
      <c r="BL11">
        <v>4</v>
      </c>
      <c r="BM11">
        <v>2</v>
      </c>
      <c r="BN11">
        <v>3</v>
      </c>
      <c r="BO11">
        <v>4</v>
      </c>
      <c r="BP11">
        <v>2</v>
      </c>
      <c r="BQ11" t="s">
        <v>138</v>
      </c>
      <c r="BR11">
        <v>444.86</v>
      </c>
      <c r="BS11">
        <v>117.25</v>
      </c>
      <c r="CF11">
        <v>327.61</v>
      </c>
    </row>
    <row r="12" spans="1:88" x14ac:dyDescent="0.35">
      <c r="A12">
        <v>213</v>
      </c>
      <c r="B12" t="s">
        <v>139</v>
      </c>
      <c r="C12">
        <v>2</v>
      </c>
      <c r="D12" t="s">
        <v>89</v>
      </c>
      <c r="E12">
        <v>589048412</v>
      </c>
      <c r="F12" t="s">
        <v>140</v>
      </c>
      <c r="G12" t="s">
        <v>139</v>
      </c>
      <c r="H12" t="s">
        <v>141</v>
      </c>
      <c r="I12" t="s">
        <v>142</v>
      </c>
      <c r="J12" t="s">
        <v>93</v>
      </c>
      <c r="K12" t="s">
        <v>94</v>
      </c>
      <c r="L12" t="s">
        <v>94</v>
      </c>
      <c r="M12" t="s">
        <v>94</v>
      </c>
      <c r="N12" t="s">
        <v>93</v>
      </c>
      <c r="O12" t="s">
        <v>94</v>
      </c>
      <c r="Q12" t="s">
        <v>93</v>
      </c>
      <c r="S12" t="s">
        <v>143</v>
      </c>
      <c r="T12" t="s">
        <v>105</v>
      </c>
      <c r="U12" t="s">
        <v>94</v>
      </c>
      <c r="V12" t="s">
        <v>94</v>
      </c>
      <c r="W12" t="s">
        <v>94</v>
      </c>
      <c r="X12" t="s">
        <v>94</v>
      </c>
      <c r="Y12" t="s">
        <v>93</v>
      </c>
      <c r="Z12" t="s">
        <v>94</v>
      </c>
      <c r="AA12" t="s">
        <v>94</v>
      </c>
      <c r="AC12" t="s">
        <v>107</v>
      </c>
      <c r="AD12" t="s">
        <v>108</v>
      </c>
      <c r="AE12" t="s">
        <v>108</v>
      </c>
      <c r="AF12" t="s">
        <v>121</v>
      </c>
      <c r="AG12" t="s">
        <v>121</v>
      </c>
      <c r="AH12" t="s">
        <v>108</v>
      </c>
      <c r="AI12" t="s">
        <v>121</v>
      </c>
      <c r="AK12" t="s">
        <v>97</v>
      </c>
      <c r="AL12" t="s">
        <v>130</v>
      </c>
      <c r="AM12" t="s">
        <v>130</v>
      </c>
      <c r="AN12">
        <v>2</v>
      </c>
      <c r="AO12">
        <v>4</v>
      </c>
      <c r="AP12" t="s">
        <v>98</v>
      </c>
      <c r="AQ12">
        <v>3</v>
      </c>
      <c r="AR12">
        <v>4</v>
      </c>
      <c r="AS12" t="s">
        <v>111</v>
      </c>
      <c r="AT12" t="s">
        <v>111</v>
      </c>
      <c r="AU12" t="s">
        <v>111</v>
      </c>
      <c r="AV12" t="s">
        <v>111</v>
      </c>
      <c r="AW12" t="s">
        <v>111</v>
      </c>
      <c r="AX12">
        <v>4</v>
      </c>
      <c r="AY12">
        <v>4</v>
      </c>
      <c r="AZ12">
        <v>4</v>
      </c>
      <c r="BA12" t="s">
        <v>98</v>
      </c>
      <c r="BB12">
        <v>4</v>
      </c>
      <c r="BC12">
        <v>3</v>
      </c>
      <c r="BD12">
        <v>2</v>
      </c>
      <c r="BE12">
        <v>3</v>
      </c>
      <c r="BF12">
        <v>2</v>
      </c>
      <c r="BG12">
        <v>2</v>
      </c>
      <c r="BH12">
        <v>2</v>
      </c>
      <c r="BI12">
        <v>3</v>
      </c>
      <c r="BJ12" t="s">
        <v>99</v>
      </c>
      <c r="BK12" t="s">
        <v>99</v>
      </c>
      <c r="BL12" t="s">
        <v>99</v>
      </c>
      <c r="BM12" t="s">
        <v>99</v>
      </c>
      <c r="BN12" t="s">
        <v>99</v>
      </c>
      <c r="BO12" t="s">
        <v>99</v>
      </c>
      <c r="BP12" t="s">
        <v>99</v>
      </c>
      <c r="BR12">
        <v>2956.08</v>
      </c>
      <c r="BS12">
        <v>196.37</v>
      </c>
      <c r="CF12">
        <v>2759.71</v>
      </c>
    </row>
    <row r="13" spans="1:88" x14ac:dyDescent="0.35">
      <c r="A13">
        <v>214</v>
      </c>
      <c r="B13" t="s">
        <v>144</v>
      </c>
      <c r="C13">
        <v>2</v>
      </c>
      <c r="D13" t="s">
        <v>89</v>
      </c>
      <c r="E13">
        <v>1761492807</v>
      </c>
      <c r="F13" t="s">
        <v>145</v>
      </c>
      <c r="G13" t="s">
        <v>144</v>
      </c>
      <c r="H13" t="s">
        <v>146</v>
      </c>
      <c r="I13" t="s">
        <v>147</v>
      </c>
      <c r="J13" t="s">
        <v>93</v>
      </c>
      <c r="K13" t="s">
        <v>94</v>
      </c>
      <c r="L13" t="s">
        <v>94</v>
      </c>
      <c r="M13" t="s">
        <v>94</v>
      </c>
      <c r="N13" t="s">
        <v>94</v>
      </c>
      <c r="O13" t="s">
        <v>94</v>
      </c>
      <c r="Q13" t="s">
        <v>94</v>
      </c>
      <c r="R13" t="s">
        <v>148</v>
      </c>
      <c r="S13" t="s">
        <v>104</v>
      </c>
      <c r="U13" t="s">
        <v>94</v>
      </c>
      <c r="V13" t="s">
        <v>93</v>
      </c>
      <c r="W13" t="s">
        <v>94</v>
      </c>
      <c r="X13" t="s">
        <v>93</v>
      </c>
      <c r="Y13" t="s">
        <v>94</v>
      </c>
      <c r="Z13" t="s">
        <v>94</v>
      </c>
      <c r="AA13" t="s">
        <v>93</v>
      </c>
      <c r="AK13" t="s">
        <v>97</v>
      </c>
      <c r="AL13">
        <v>2</v>
      </c>
      <c r="AM13">
        <v>4</v>
      </c>
      <c r="AN13">
        <v>4</v>
      </c>
      <c r="AO13" t="s">
        <v>110</v>
      </c>
      <c r="AP13">
        <v>4</v>
      </c>
      <c r="AQ13">
        <v>3</v>
      </c>
      <c r="AR13">
        <v>2</v>
      </c>
      <c r="AS13" t="s">
        <v>111</v>
      </c>
      <c r="AT13" t="s">
        <v>111</v>
      </c>
      <c r="AU13" t="s">
        <v>111</v>
      </c>
      <c r="AV13">
        <v>3</v>
      </c>
      <c r="AW13">
        <v>4</v>
      </c>
      <c r="AX13">
        <v>4</v>
      </c>
      <c r="AY13" t="s">
        <v>98</v>
      </c>
      <c r="AZ13">
        <v>3</v>
      </c>
      <c r="BA13">
        <v>3</v>
      </c>
      <c r="BB13" t="s">
        <v>98</v>
      </c>
      <c r="BC13" t="s">
        <v>98</v>
      </c>
      <c r="BD13">
        <v>3</v>
      </c>
      <c r="BE13" t="s">
        <v>98</v>
      </c>
      <c r="BF13" t="s">
        <v>111</v>
      </c>
      <c r="BG13" t="s">
        <v>111</v>
      </c>
      <c r="BH13" t="s">
        <v>98</v>
      </c>
      <c r="BI13" t="s">
        <v>98</v>
      </c>
      <c r="BJ13" t="s">
        <v>99</v>
      </c>
      <c r="BK13" t="s">
        <v>99</v>
      </c>
      <c r="BL13" t="s">
        <v>99</v>
      </c>
      <c r="BM13" t="s">
        <v>99</v>
      </c>
      <c r="BN13">
        <v>3</v>
      </c>
      <c r="BO13" t="s">
        <v>99</v>
      </c>
      <c r="BP13" t="s">
        <v>99</v>
      </c>
      <c r="BQ13" t="s">
        <v>149</v>
      </c>
      <c r="BR13">
        <v>244.62</v>
      </c>
      <c r="BS13">
        <v>56.38</v>
      </c>
      <c r="CF13">
        <v>188.24</v>
      </c>
    </row>
    <row r="14" spans="1:88" x14ac:dyDescent="0.35">
      <c r="A14">
        <v>215</v>
      </c>
      <c r="C14">
        <v>0</v>
      </c>
      <c r="D14" t="s">
        <v>89</v>
      </c>
      <c r="E14">
        <v>185444088</v>
      </c>
      <c r="F14" t="s">
        <v>150</v>
      </c>
      <c r="G14" t="s">
        <v>151</v>
      </c>
      <c r="H14" t="s">
        <v>152</v>
      </c>
      <c r="I14" t="s">
        <v>153</v>
      </c>
      <c r="J14" t="s">
        <v>94</v>
      </c>
      <c r="K14" t="s">
        <v>94</v>
      </c>
      <c r="L14" t="s">
        <v>93</v>
      </c>
      <c r="M14" t="s">
        <v>94</v>
      </c>
      <c r="N14" t="s">
        <v>93</v>
      </c>
      <c r="O14" t="s">
        <v>93</v>
      </c>
      <c r="Q14" t="s">
        <v>93</v>
      </c>
      <c r="S14" t="s">
        <v>120</v>
      </c>
      <c r="T14" t="s">
        <v>105</v>
      </c>
      <c r="U14" t="s">
        <v>93</v>
      </c>
      <c r="V14" t="s">
        <v>94</v>
      </c>
      <c r="W14" t="s">
        <v>93</v>
      </c>
      <c r="X14" t="s">
        <v>94</v>
      </c>
      <c r="Y14" t="s">
        <v>93</v>
      </c>
      <c r="Z14" t="s">
        <v>94</v>
      </c>
      <c r="AA14" t="s">
        <v>94</v>
      </c>
      <c r="AC14" t="s">
        <v>107</v>
      </c>
      <c r="AD14" t="s">
        <v>106</v>
      </c>
      <c r="AE14" t="s">
        <v>107</v>
      </c>
      <c r="AF14">
        <v>4</v>
      </c>
      <c r="AG14">
        <v>4</v>
      </c>
      <c r="AH14">
        <v>4</v>
      </c>
      <c r="AI14" t="s">
        <v>121</v>
      </c>
      <c r="AK14" t="s">
        <v>97</v>
      </c>
      <c r="BR14">
        <v>125.42</v>
      </c>
      <c r="BS14">
        <v>125.42</v>
      </c>
    </row>
    <row r="15" spans="1:88" x14ac:dyDescent="0.35">
      <c r="A15">
        <v>216</v>
      </c>
      <c r="B15" t="s">
        <v>154</v>
      </c>
      <c r="C15">
        <v>2</v>
      </c>
      <c r="D15" t="s">
        <v>89</v>
      </c>
      <c r="E15">
        <v>1037748864</v>
      </c>
      <c r="F15" t="s">
        <v>155</v>
      </c>
      <c r="G15" t="s">
        <v>154</v>
      </c>
      <c r="H15" t="s">
        <v>156</v>
      </c>
      <c r="I15" t="s">
        <v>157</v>
      </c>
      <c r="J15" t="s">
        <v>93</v>
      </c>
      <c r="K15" t="s">
        <v>94</v>
      </c>
      <c r="L15" t="s">
        <v>94</v>
      </c>
      <c r="M15" t="s">
        <v>94</v>
      </c>
      <c r="N15" t="s">
        <v>94</v>
      </c>
      <c r="O15" t="s">
        <v>94</v>
      </c>
      <c r="Q15" t="s">
        <v>93</v>
      </c>
      <c r="S15" t="s">
        <v>96</v>
      </c>
      <c r="T15" t="s">
        <v>93</v>
      </c>
      <c r="U15" t="s">
        <v>94</v>
      </c>
      <c r="V15" t="s">
        <v>93</v>
      </c>
      <c r="W15" t="s">
        <v>94</v>
      </c>
      <c r="X15" t="s">
        <v>94</v>
      </c>
      <c r="Y15" t="s">
        <v>93</v>
      </c>
      <c r="Z15" t="s">
        <v>93</v>
      </c>
      <c r="AA15" t="s">
        <v>93</v>
      </c>
      <c r="AC15" t="s">
        <v>108</v>
      </c>
      <c r="AD15" t="s">
        <v>106</v>
      </c>
      <c r="AE15" t="s">
        <v>107</v>
      </c>
      <c r="AF15" t="s">
        <v>121</v>
      </c>
      <c r="AG15" t="s">
        <v>121</v>
      </c>
      <c r="AH15" t="s">
        <v>121</v>
      </c>
      <c r="AI15" t="s">
        <v>121</v>
      </c>
      <c r="AK15" t="s">
        <v>158</v>
      </c>
      <c r="AL15">
        <v>2</v>
      </c>
      <c r="AM15">
        <v>3</v>
      </c>
      <c r="AN15">
        <v>3</v>
      </c>
      <c r="AO15">
        <v>4</v>
      </c>
      <c r="AP15">
        <v>3</v>
      </c>
      <c r="AQ15">
        <v>3</v>
      </c>
      <c r="AR15">
        <v>3</v>
      </c>
      <c r="AS15">
        <v>4</v>
      </c>
      <c r="AT15">
        <v>2</v>
      </c>
      <c r="AU15">
        <v>2</v>
      </c>
      <c r="AV15">
        <v>3</v>
      </c>
      <c r="AW15">
        <v>3</v>
      </c>
      <c r="AX15">
        <v>4</v>
      </c>
      <c r="AY15">
        <v>4</v>
      </c>
      <c r="AZ15">
        <v>4</v>
      </c>
      <c r="BA15" t="s">
        <v>98</v>
      </c>
      <c r="BB15">
        <v>4</v>
      </c>
      <c r="BC15" t="s">
        <v>98</v>
      </c>
      <c r="BD15">
        <v>4</v>
      </c>
      <c r="BE15" t="s">
        <v>98</v>
      </c>
      <c r="BF15">
        <v>4</v>
      </c>
      <c r="BG15">
        <v>4</v>
      </c>
      <c r="BH15">
        <v>3</v>
      </c>
      <c r="BI15">
        <v>4</v>
      </c>
      <c r="BJ15">
        <v>3</v>
      </c>
      <c r="BK15">
        <v>4</v>
      </c>
      <c r="BL15">
        <v>3</v>
      </c>
      <c r="BM15">
        <v>3</v>
      </c>
      <c r="BN15">
        <v>4</v>
      </c>
      <c r="BO15">
        <v>4</v>
      </c>
      <c r="BP15">
        <v>4</v>
      </c>
      <c r="BR15">
        <v>221.29</v>
      </c>
      <c r="BS15">
        <v>84.72</v>
      </c>
      <c r="CF15">
        <v>136.57</v>
      </c>
    </row>
    <row r="16" spans="1:88" x14ac:dyDescent="0.35">
      <c r="A16">
        <v>217</v>
      </c>
      <c r="C16">
        <v>0</v>
      </c>
      <c r="D16" t="s">
        <v>89</v>
      </c>
      <c r="E16">
        <v>1287976052</v>
      </c>
      <c r="F16" t="s">
        <v>159</v>
      </c>
      <c r="G16" t="s">
        <v>159</v>
      </c>
      <c r="J16" t="s">
        <v>115</v>
      </c>
      <c r="K16" t="s">
        <v>115</v>
      </c>
      <c r="L16" t="s">
        <v>115</v>
      </c>
      <c r="M16" t="s">
        <v>115</v>
      </c>
      <c r="N16" t="s">
        <v>115</v>
      </c>
      <c r="O16" t="s">
        <v>115</v>
      </c>
      <c r="Q16" t="s">
        <v>115</v>
      </c>
      <c r="U16" t="s">
        <v>115</v>
      </c>
      <c r="V16" t="s">
        <v>115</v>
      </c>
      <c r="W16" t="s">
        <v>115</v>
      </c>
      <c r="X16" t="s">
        <v>115</v>
      </c>
      <c r="Y16" t="s">
        <v>115</v>
      </c>
      <c r="Z16" t="s">
        <v>115</v>
      </c>
      <c r="AA16" t="s">
        <v>115</v>
      </c>
      <c r="BR16">
        <v>0</v>
      </c>
    </row>
    <row r="17" spans="1:84" x14ac:dyDescent="0.35">
      <c r="A17">
        <v>218</v>
      </c>
      <c r="B17" t="s">
        <v>160</v>
      </c>
      <c r="C17">
        <v>2</v>
      </c>
      <c r="D17" t="s">
        <v>89</v>
      </c>
      <c r="E17">
        <v>1991488047</v>
      </c>
      <c r="F17" t="s">
        <v>161</v>
      </c>
      <c r="G17" t="s">
        <v>160</v>
      </c>
      <c r="H17" t="s">
        <v>162</v>
      </c>
      <c r="I17" t="s">
        <v>163</v>
      </c>
      <c r="J17" t="s">
        <v>93</v>
      </c>
      <c r="K17" t="s">
        <v>94</v>
      </c>
      <c r="L17" t="s">
        <v>94</v>
      </c>
      <c r="M17" t="s">
        <v>94</v>
      </c>
      <c r="N17" t="s">
        <v>94</v>
      </c>
      <c r="O17" t="s">
        <v>93</v>
      </c>
      <c r="Q17" t="s">
        <v>93</v>
      </c>
      <c r="S17" t="s">
        <v>96</v>
      </c>
      <c r="T17" t="s">
        <v>105</v>
      </c>
      <c r="U17" t="s">
        <v>94</v>
      </c>
      <c r="V17" t="s">
        <v>93</v>
      </c>
      <c r="W17" t="s">
        <v>94</v>
      </c>
      <c r="X17" t="s">
        <v>94</v>
      </c>
      <c r="Y17" t="s">
        <v>93</v>
      </c>
      <c r="Z17" t="s">
        <v>93</v>
      </c>
      <c r="AA17" t="s">
        <v>93</v>
      </c>
      <c r="AC17" t="s">
        <v>128</v>
      </c>
      <c r="AD17" t="s">
        <v>107</v>
      </c>
      <c r="AE17" t="s">
        <v>106</v>
      </c>
      <c r="AF17">
        <v>4</v>
      </c>
      <c r="AG17" t="s">
        <v>108</v>
      </c>
      <c r="AH17" t="s">
        <v>108</v>
      </c>
      <c r="AI17" t="s">
        <v>108</v>
      </c>
      <c r="AK17" t="s">
        <v>97</v>
      </c>
      <c r="AL17">
        <v>2</v>
      </c>
      <c r="AM17">
        <v>3</v>
      </c>
      <c r="AN17">
        <v>4</v>
      </c>
      <c r="AO17" t="s">
        <v>110</v>
      </c>
      <c r="AP17" t="s">
        <v>98</v>
      </c>
      <c r="AQ17" t="s">
        <v>98</v>
      </c>
      <c r="AR17">
        <v>4</v>
      </c>
      <c r="AS17">
        <v>3</v>
      </c>
      <c r="AT17">
        <v>3</v>
      </c>
      <c r="AU17">
        <v>3</v>
      </c>
      <c r="AV17" t="s">
        <v>111</v>
      </c>
      <c r="AW17">
        <v>2</v>
      </c>
      <c r="AX17">
        <v>4</v>
      </c>
      <c r="AY17" t="s">
        <v>98</v>
      </c>
      <c r="AZ17">
        <v>3</v>
      </c>
      <c r="BA17">
        <v>3</v>
      </c>
      <c r="BB17" t="s">
        <v>98</v>
      </c>
      <c r="BC17">
        <v>3</v>
      </c>
      <c r="BD17" t="s">
        <v>98</v>
      </c>
      <c r="BE17">
        <v>4</v>
      </c>
      <c r="BF17">
        <v>4</v>
      </c>
      <c r="BG17" t="s">
        <v>98</v>
      </c>
      <c r="BH17">
        <v>4</v>
      </c>
      <c r="BI17">
        <v>4</v>
      </c>
      <c r="BJ17">
        <v>4</v>
      </c>
      <c r="BK17">
        <v>4</v>
      </c>
      <c r="BL17" t="s">
        <v>99</v>
      </c>
      <c r="BM17">
        <v>4</v>
      </c>
      <c r="BN17">
        <v>4</v>
      </c>
      <c r="BO17">
        <v>4</v>
      </c>
      <c r="BP17" t="s">
        <v>99</v>
      </c>
      <c r="BQ17" t="s">
        <v>164</v>
      </c>
      <c r="BR17">
        <v>1121.3699999999999</v>
      </c>
      <c r="BS17">
        <v>574.75</v>
      </c>
      <c r="CF17">
        <v>546.62</v>
      </c>
    </row>
    <row r="18" spans="1:84" x14ac:dyDescent="0.35">
      <c r="A18">
        <v>219</v>
      </c>
      <c r="B18" t="s">
        <v>165</v>
      </c>
      <c r="C18">
        <v>2</v>
      </c>
      <c r="D18" t="s">
        <v>89</v>
      </c>
      <c r="E18">
        <v>590157972</v>
      </c>
      <c r="F18" t="s">
        <v>166</v>
      </c>
      <c r="G18" t="s">
        <v>165</v>
      </c>
      <c r="H18" t="s">
        <v>167</v>
      </c>
      <c r="I18" t="s">
        <v>168</v>
      </c>
      <c r="J18" t="s">
        <v>93</v>
      </c>
      <c r="K18" t="s">
        <v>94</v>
      </c>
      <c r="L18" t="s">
        <v>94</v>
      </c>
      <c r="M18" t="s">
        <v>94</v>
      </c>
      <c r="N18" t="s">
        <v>94</v>
      </c>
      <c r="O18" t="s">
        <v>93</v>
      </c>
      <c r="Q18" t="s">
        <v>93</v>
      </c>
      <c r="S18" t="s">
        <v>96</v>
      </c>
      <c r="T18" t="s">
        <v>105</v>
      </c>
      <c r="U18" t="s">
        <v>94</v>
      </c>
      <c r="V18" t="s">
        <v>93</v>
      </c>
      <c r="W18" t="s">
        <v>94</v>
      </c>
      <c r="X18" t="s">
        <v>94</v>
      </c>
      <c r="Y18" t="s">
        <v>93</v>
      </c>
      <c r="Z18" t="s">
        <v>93</v>
      </c>
      <c r="AA18" t="s">
        <v>93</v>
      </c>
      <c r="AC18" t="s">
        <v>107</v>
      </c>
      <c r="AD18" t="s">
        <v>106</v>
      </c>
      <c r="AE18" t="s">
        <v>106</v>
      </c>
      <c r="AF18">
        <v>4</v>
      </c>
      <c r="AG18" t="s">
        <v>108</v>
      </c>
      <c r="AH18" t="s">
        <v>108</v>
      </c>
      <c r="AI18" t="s">
        <v>108</v>
      </c>
      <c r="AK18" t="s">
        <v>97</v>
      </c>
      <c r="AL18">
        <v>2</v>
      </c>
      <c r="AM18">
        <v>3</v>
      </c>
      <c r="AN18" t="s">
        <v>110</v>
      </c>
      <c r="AO18" t="s">
        <v>110</v>
      </c>
      <c r="AP18">
        <v>4</v>
      </c>
      <c r="AQ18">
        <v>3</v>
      </c>
      <c r="AR18">
        <v>4</v>
      </c>
      <c r="AS18">
        <v>3</v>
      </c>
      <c r="AT18">
        <v>4</v>
      </c>
      <c r="AU18">
        <v>3</v>
      </c>
      <c r="AV18">
        <v>3</v>
      </c>
      <c r="AW18">
        <v>2</v>
      </c>
      <c r="AX18">
        <v>4</v>
      </c>
      <c r="AY18">
        <v>4</v>
      </c>
      <c r="AZ18">
        <v>3</v>
      </c>
      <c r="BA18">
        <v>3</v>
      </c>
      <c r="BB18" t="s">
        <v>98</v>
      </c>
      <c r="BC18">
        <v>3</v>
      </c>
      <c r="BD18">
        <v>4</v>
      </c>
      <c r="BE18">
        <v>3</v>
      </c>
      <c r="BF18">
        <v>3</v>
      </c>
      <c r="BG18">
        <v>3</v>
      </c>
      <c r="BH18">
        <v>4</v>
      </c>
      <c r="BI18">
        <v>4</v>
      </c>
      <c r="BJ18">
        <v>4</v>
      </c>
      <c r="BK18">
        <v>4</v>
      </c>
      <c r="BL18">
        <v>4</v>
      </c>
      <c r="BM18" t="s">
        <v>99</v>
      </c>
      <c r="BN18" t="s">
        <v>99</v>
      </c>
      <c r="BO18" t="s">
        <v>99</v>
      </c>
      <c r="BP18" t="s">
        <v>99</v>
      </c>
      <c r="BQ18" t="s">
        <v>169</v>
      </c>
      <c r="BR18">
        <v>1304.3</v>
      </c>
      <c r="BS18">
        <v>558.45000000000005</v>
      </c>
      <c r="CF18">
        <v>745.85</v>
      </c>
    </row>
    <row r="19" spans="1:84" x14ac:dyDescent="0.35">
      <c r="A19">
        <v>220</v>
      </c>
      <c r="B19" t="s">
        <v>170</v>
      </c>
      <c r="C19">
        <v>2</v>
      </c>
      <c r="D19" t="s">
        <v>89</v>
      </c>
      <c r="E19">
        <v>1836758014</v>
      </c>
      <c r="F19" t="s">
        <v>171</v>
      </c>
      <c r="G19" t="s">
        <v>170</v>
      </c>
      <c r="H19" t="s">
        <v>172</v>
      </c>
      <c r="I19" t="s">
        <v>173</v>
      </c>
      <c r="J19" t="s">
        <v>93</v>
      </c>
      <c r="K19" t="s">
        <v>94</v>
      </c>
      <c r="L19" t="s">
        <v>94</v>
      </c>
      <c r="M19" t="s">
        <v>94</v>
      </c>
      <c r="N19" t="s">
        <v>94</v>
      </c>
      <c r="O19" t="s">
        <v>93</v>
      </c>
      <c r="Q19" t="s">
        <v>93</v>
      </c>
      <c r="S19" t="s">
        <v>120</v>
      </c>
      <c r="T19" t="s">
        <v>94</v>
      </c>
      <c r="U19" t="s">
        <v>94</v>
      </c>
      <c r="V19" t="s">
        <v>94</v>
      </c>
      <c r="W19" t="s">
        <v>94</v>
      </c>
      <c r="X19" t="s">
        <v>94</v>
      </c>
      <c r="Y19" t="s">
        <v>93</v>
      </c>
      <c r="Z19" t="s">
        <v>94</v>
      </c>
      <c r="AA19" t="s">
        <v>94</v>
      </c>
      <c r="AB19" t="s">
        <v>174</v>
      </c>
      <c r="AC19" t="s">
        <v>128</v>
      </c>
      <c r="AD19" t="s">
        <v>106</v>
      </c>
      <c r="AE19" t="s">
        <v>128</v>
      </c>
      <c r="AF19" t="s">
        <v>121</v>
      </c>
      <c r="AG19">
        <v>4</v>
      </c>
      <c r="AH19" t="s">
        <v>121</v>
      </c>
      <c r="AI19">
        <v>4</v>
      </c>
      <c r="AK19" t="s">
        <v>109</v>
      </c>
      <c r="AL19">
        <v>2</v>
      </c>
      <c r="AM19">
        <v>4</v>
      </c>
      <c r="AN19">
        <v>4</v>
      </c>
      <c r="AO19" t="s">
        <v>110</v>
      </c>
      <c r="AP19">
        <v>4</v>
      </c>
      <c r="AQ19">
        <v>4</v>
      </c>
      <c r="AR19">
        <v>3</v>
      </c>
      <c r="AS19">
        <v>4</v>
      </c>
      <c r="AT19">
        <v>3</v>
      </c>
      <c r="AU19">
        <v>3</v>
      </c>
      <c r="AV19">
        <v>4</v>
      </c>
      <c r="AW19">
        <v>2</v>
      </c>
      <c r="AX19">
        <v>3</v>
      </c>
      <c r="AY19">
        <v>4</v>
      </c>
      <c r="AZ19">
        <v>3</v>
      </c>
      <c r="BA19">
        <v>3</v>
      </c>
      <c r="BB19">
        <v>3</v>
      </c>
      <c r="BC19">
        <v>3</v>
      </c>
      <c r="BD19">
        <v>2</v>
      </c>
      <c r="BE19">
        <v>3</v>
      </c>
      <c r="BF19">
        <v>3</v>
      </c>
      <c r="BG19">
        <v>3</v>
      </c>
      <c r="BH19">
        <v>3</v>
      </c>
      <c r="BI19">
        <v>3</v>
      </c>
      <c r="BJ19">
        <v>3</v>
      </c>
      <c r="BK19">
        <v>3</v>
      </c>
      <c r="BL19">
        <v>3</v>
      </c>
      <c r="BM19">
        <v>4</v>
      </c>
      <c r="BN19">
        <v>4</v>
      </c>
      <c r="BO19">
        <v>4</v>
      </c>
      <c r="BP19">
        <v>3</v>
      </c>
      <c r="BR19">
        <v>573.01</v>
      </c>
      <c r="BS19">
        <v>287.10000000000002</v>
      </c>
      <c r="CF19">
        <v>285.91000000000003</v>
      </c>
    </row>
    <row r="20" spans="1:84" x14ac:dyDescent="0.35">
      <c r="A20">
        <v>221</v>
      </c>
      <c r="C20">
        <v>0</v>
      </c>
      <c r="D20" t="s">
        <v>89</v>
      </c>
      <c r="E20">
        <v>757667841</v>
      </c>
      <c r="F20" t="s">
        <v>175</v>
      </c>
      <c r="G20" t="s">
        <v>175</v>
      </c>
      <c r="J20" t="s">
        <v>115</v>
      </c>
      <c r="K20" t="s">
        <v>115</v>
      </c>
      <c r="L20" t="s">
        <v>115</v>
      </c>
      <c r="M20" t="s">
        <v>115</v>
      </c>
      <c r="N20" t="s">
        <v>115</v>
      </c>
      <c r="O20" t="s">
        <v>115</v>
      </c>
      <c r="Q20" t="s">
        <v>115</v>
      </c>
      <c r="U20" t="s">
        <v>115</v>
      </c>
      <c r="V20" t="s">
        <v>115</v>
      </c>
      <c r="W20" t="s">
        <v>115</v>
      </c>
      <c r="X20" t="s">
        <v>115</v>
      </c>
      <c r="Y20" t="s">
        <v>115</v>
      </c>
      <c r="Z20" t="s">
        <v>115</v>
      </c>
      <c r="AA20" t="s">
        <v>115</v>
      </c>
      <c r="BR20">
        <v>0</v>
      </c>
    </row>
    <row r="21" spans="1:84" x14ac:dyDescent="0.35">
      <c r="A21">
        <v>222</v>
      </c>
      <c r="B21" t="s">
        <v>176</v>
      </c>
      <c r="C21">
        <v>2</v>
      </c>
      <c r="D21" t="s">
        <v>89</v>
      </c>
      <c r="E21">
        <v>1576039552</v>
      </c>
      <c r="F21" t="s">
        <v>177</v>
      </c>
      <c r="G21" t="s">
        <v>176</v>
      </c>
      <c r="H21" t="s">
        <v>178</v>
      </c>
      <c r="I21" t="s">
        <v>179</v>
      </c>
      <c r="J21" t="s">
        <v>93</v>
      </c>
      <c r="K21" t="s">
        <v>94</v>
      </c>
      <c r="L21" t="s">
        <v>94</v>
      </c>
      <c r="M21" t="s">
        <v>94</v>
      </c>
      <c r="N21" t="s">
        <v>93</v>
      </c>
      <c r="O21" t="s">
        <v>94</v>
      </c>
      <c r="Q21" t="s">
        <v>93</v>
      </c>
      <c r="S21" t="s">
        <v>96</v>
      </c>
      <c r="T21" t="s">
        <v>93</v>
      </c>
      <c r="U21" t="s">
        <v>93</v>
      </c>
      <c r="V21" t="s">
        <v>94</v>
      </c>
      <c r="W21" t="s">
        <v>94</v>
      </c>
      <c r="X21" t="s">
        <v>94</v>
      </c>
      <c r="Y21" t="s">
        <v>93</v>
      </c>
      <c r="Z21" t="s">
        <v>94</v>
      </c>
      <c r="AA21" t="s">
        <v>94</v>
      </c>
      <c r="AC21" t="s">
        <v>107</v>
      </c>
      <c r="AD21" t="s">
        <v>106</v>
      </c>
      <c r="AE21" t="s">
        <v>108</v>
      </c>
      <c r="AF21" t="s">
        <v>121</v>
      </c>
      <c r="AG21" t="s">
        <v>108</v>
      </c>
      <c r="AH21" t="s">
        <v>108</v>
      </c>
      <c r="AI21" t="s">
        <v>121</v>
      </c>
      <c r="AK21" t="s">
        <v>97</v>
      </c>
      <c r="AL21">
        <v>3</v>
      </c>
      <c r="AM21">
        <v>4</v>
      </c>
      <c r="AN21">
        <v>4</v>
      </c>
      <c r="AO21" t="s">
        <v>110</v>
      </c>
      <c r="AP21">
        <v>4</v>
      </c>
      <c r="AQ21">
        <v>4</v>
      </c>
      <c r="AR21">
        <v>3</v>
      </c>
      <c r="AS21">
        <v>3</v>
      </c>
      <c r="AT21">
        <v>3</v>
      </c>
      <c r="AU21">
        <v>4</v>
      </c>
      <c r="AV21">
        <v>4</v>
      </c>
      <c r="AW21" t="s">
        <v>98</v>
      </c>
      <c r="AX21">
        <v>4</v>
      </c>
      <c r="AY21" t="s">
        <v>98</v>
      </c>
      <c r="AZ21">
        <v>4</v>
      </c>
      <c r="BA21" t="s">
        <v>98</v>
      </c>
      <c r="BB21">
        <v>3</v>
      </c>
      <c r="BC21">
        <v>3</v>
      </c>
      <c r="BD21">
        <v>3</v>
      </c>
      <c r="BE21">
        <v>3</v>
      </c>
      <c r="BF21">
        <v>4</v>
      </c>
      <c r="BG21" t="s">
        <v>98</v>
      </c>
      <c r="BH21">
        <v>4</v>
      </c>
      <c r="BI21" t="s">
        <v>98</v>
      </c>
      <c r="BJ21">
        <v>4</v>
      </c>
      <c r="BK21">
        <v>4</v>
      </c>
      <c r="BL21">
        <v>3</v>
      </c>
      <c r="BM21">
        <v>4</v>
      </c>
      <c r="BN21">
        <v>3</v>
      </c>
      <c r="BO21">
        <v>4</v>
      </c>
      <c r="BP21">
        <v>4</v>
      </c>
      <c r="BR21">
        <v>253.24</v>
      </c>
      <c r="BS21">
        <v>98.71</v>
      </c>
      <c r="CF21">
        <v>154.53</v>
      </c>
    </row>
    <row r="22" spans="1:84" x14ac:dyDescent="0.35">
      <c r="A22">
        <v>223</v>
      </c>
      <c r="B22" t="s">
        <v>180</v>
      </c>
      <c r="C22">
        <v>2</v>
      </c>
      <c r="D22" t="s">
        <v>89</v>
      </c>
      <c r="E22">
        <v>374717104</v>
      </c>
      <c r="F22" t="s">
        <v>181</v>
      </c>
      <c r="G22" t="s">
        <v>180</v>
      </c>
      <c r="H22" t="s">
        <v>152</v>
      </c>
      <c r="I22" t="s">
        <v>153</v>
      </c>
      <c r="J22" t="s">
        <v>93</v>
      </c>
      <c r="K22" t="s">
        <v>94</v>
      </c>
      <c r="L22" t="s">
        <v>93</v>
      </c>
      <c r="M22" t="s">
        <v>94</v>
      </c>
      <c r="N22" t="s">
        <v>93</v>
      </c>
      <c r="O22" t="s">
        <v>94</v>
      </c>
      <c r="Q22" t="s">
        <v>93</v>
      </c>
      <c r="S22" t="s">
        <v>96</v>
      </c>
      <c r="T22" t="s">
        <v>105</v>
      </c>
      <c r="U22" t="s">
        <v>93</v>
      </c>
      <c r="V22" t="s">
        <v>94</v>
      </c>
      <c r="W22" t="s">
        <v>93</v>
      </c>
      <c r="X22" t="s">
        <v>93</v>
      </c>
      <c r="Y22" t="s">
        <v>93</v>
      </c>
      <c r="Z22" t="s">
        <v>94</v>
      </c>
      <c r="AA22" t="s">
        <v>94</v>
      </c>
      <c r="AC22" t="s">
        <v>107</v>
      </c>
      <c r="AD22" t="s">
        <v>106</v>
      </c>
      <c r="AE22" t="s">
        <v>107</v>
      </c>
      <c r="AF22">
        <v>4</v>
      </c>
      <c r="AG22" t="s">
        <v>121</v>
      </c>
      <c r="AH22" t="s">
        <v>121</v>
      </c>
      <c r="AI22" t="s">
        <v>121</v>
      </c>
      <c r="AK22" t="s">
        <v>97</v>
      </c>
      <c r="AL22">
        <v>2</v>
      </c>
      <c r="AM22">
        <v>3</v>
      </c>
      <c r="AN22">
        <v>3</v>
      </c>
      <c r="AO22">
        <v>4</v>
      </c>
      <c r="AP22">
        <v>3</v>
      </c>
      <c r="AQ22">
        <v>3</v>
      </c>
      <c r="AR22">
        <v>3</v>
      </c>
      <c r="AS22">
        <v>3</v>
      </c>
      <c r="AT22">
        <v>2</v>
      </c>
      <c r="AU22">
        <v>2</v>
      </c>
      <c r="AV22">
        <v>3</v>
      </c>
      <c r="AW22">
        <v>4</v>
      </c>
      <c r="AX22">
        <v>3</v>
      </c>
      <c r="AY22">
        <v>4</v>
      </c>
      <c r="AZ22">
        <v>3</v>
      </c>
      <c r="BA22">
        <v>4</v>
      </c>
      <c r="BB22" t="s">
        <v>98</v>
      </c>
      <c r="BC22" t="s">
        <v>98</v>
      </c>
      <c r="BD22">
        <v>4</v>
      </c>
      <c r="BE22" t="s">
        <v>98</v>
      </c>
      <c r="BF22">
        <v>2</v>
      </c>
      <c r="BG22">
        <v>3</v>
      </c>
      <c r="BH22">
        <v>3</v>
      </c>
      <c r="BI22" t="s">
        <v>98</v>
      </c>
      <c r="BJ22" t="s">
        <v>99</v>
      </c>
      <c r="BK22" t="s">
        <v>99</v>
      </c>
      <c r="BL22">
        <v>3</v>
      </c>
      <c r="BM22" t="s">
        <v>99</v>
      </c>
      <c r="BN22" t="s">
        <v>99</v>
      </c>
      <c r="BO22" t="s">
        <v>99</v>
      </c>
      <c r="BP22" t="s">
        <v>99</v>
      </c>
      <c r="BR22">
        <v>295.58999999999997</v>
      </c>
      <c r="BS22">
        <v>99</v>
      </c>
      <c r="CF22">
        <v>196.59</v>
      </c>
    </row>
    <row r="23" spans="1:84" x14ac:dyDescent="0.35">
      <c r="A23">
        <v>224</v>
      </c>
      <c r="B23" t="s">
        <v>182</v>
      </c>
      <c r="C23">
        <v>2</v>
      </c>
      <c r="D23" t="s">
        <v>89</v>
      </c>
      <c r="E23">
        <v>1089118351</v>
      </c>
      <c r="F23" t="s">
        <v>183</v>
      </c>
      <c r="G23" t="s">
        <v>182</v>
      </c>
      <c r="H23" t="s">
        <v>184</v>
      </c>
      <c r="I23" t="s">
        <v>185</v>
      </c>
      <c r="J23" t="s">
        <v>94</v>
      </c>
      <c r="K23" t="s">
        <v>94</v>
      </c>
      <c r="L23" t="s">
        <v>94</v>
      </c>
      <c r="M23" t="s">
        <v>94</v>
      </c>
      <c r="N23" t="s">
        <v>93</v>
      </c>
      <c r="O23" t="s">
        <v>93</v>
      </c>
      <c r="Q23" t="s">
        <v>93</v>
      </c>
      <c r="S23" t="s">
        <v>120</v>
      </c>
      <c r="T23" t="s">
        <v>94</v>
      </c>
      <c r="U23" t="s">
        <v>93</v>
      </c>
      <c r="V23" t="s">
        <v>93</v>
      </c>
      <c r="W23" t="s">
        <v>94</v>
      </c>
      <c r="X23" t="s">
        <v>93</v>
      </c>
      <c r="Y23" t="s">
        <v>93</v>
      </c>
      <c r="Z23" t="s">
        <v>93</v>
      </c>
      <c r="AA23" t="s">
        <v>93</v>
      </c>
      <c r="AC23" t="s">
        <v>106</v>
      </c>
      <c r="AD23" t="s">
        <v>128</v>
      </c>
      <c r="AE23" t="s">
        <v>128</v>
      </c>
      <c r="AF23">
        <v>2</v>
      </c>
      <c r="AG23" t="s">
        <v>129</v>
      </c>
      <c r="AH23" t="s">
        <v>129</v>
      </c>
      <c r="AI23" t="s">
        <v>129</v>
      </c>
      <c r="AJ23" t="s">
        <v>186</v>
      </c>
      <c r="AK23" t="s">
        <v>97</v>
      </c>
      <c r="AL23" t="s">
        <v>130</v>
      </c>
      <c r="AM23" t="s">
        <v>130</v>
      </c>
      <c r="AN23">
        <v>3</v>
      </c>
      <c r="AO23">
        <v>4</v>
      </c>
      <c r="AP23" t="s">
        <v>98</v>
      </c>
      <c r="AQ23">
        <v>4</v>
      </c>
      <c r="AR23">
        <v>3</v>
      </c>
      <c r="AS23">
        <v>3</v>
      </c>
      <c r="AT23">
        <v>3</v>
      </c>
      <c r="AU23">
        <v>3</v>
      </c>
      <c r="AV23">
        <v>2</v>
      </c>
      <c r="AW23">
        <v>3</v>
      </c>
      <c r="AX23">
        <v>4</v>
      </c>
      <c r="AY23">
        <v>4</v>
      </c>
      <c r="AZ23">
        <v>3</v>
      </c>
      <c r="BA23">
        <v>4</v>
      </c>
      <c r="BB23">
        <v>4</v>
      </c>
      <c r="BC23">
        <v>4</v>
      </c>
      <c r="BD23">
        <v>2</v>
      </c>
      <c r="BE23">
        <v>3</v>
      </c>
      <c r="BF23">
        <v>3</v>
      </c>
      <c r="BG23">
        <v>3</v>
      </c>
      <c r="BH23">
        <v>3</v>
      </c>
      <c r="BI23">
        <v>3</v>
      </c>
      <c r="BJ23" t="s">
        <v>99</v>
      </c>
      <c r="BK23">
        <v>4</v>
      </c>
      <c r="BL23" t="s">
        <v>99</v>
      </c>
      <c r="BM23" t="s">
        <v>99</v>
      </c>
      <c r="BN23" t="s">
        <v>99</v>
      </c>
      <c r="BO23" t="s">
        <v>99</v>
      </c>
      <c r="BP23" t="s">
        <v>99</v>
      </c>
      <c r="BR23">
        <v>426.96</v>
      </c>
      <c r="BS23">
        <v>233.52</v>
      </c>
      <c r="CF23">
        <v>193.44</v>
      </c>
    </row>
    <row r="24" spans="1:84" x14ac:dyDescent="0.35">
      <c r="A24">
        <v>225</v>
      </c>
      <c r="B24" t="s">
        <v>187</v>
      </c>
      <c r="C24">
        <v>2</v>
      </c>
      <c r="D24" t="s">
        <v>89</v>
      </c>
      <c r="E24">
        <v>1761386391</v>
      </c>
      <c r="F24" t="s">
        <v>188</v>
      </c>
      <c r="G24" t="s">
        <v>187</v>
      </c>
      <c r="H24" t="s">
        <v>189</v>
      </c>
      <c r="I24" t="s">
        <v>190</v>
      </c>
      <c r="J24" t="s">
        <v>93</v>
      </c>
      <c r="K24" t="s">
        <v>94</v>
      </c>
      <c r="L24" t="s">
        <v>94</v>
      </c>
      <c r="M24" t="s">
        <v>94</v>
      </c>
      <c r="N24" t="s">
        <v>94</v>
      </c>
      <c r="O24" t="s">
        <v>93</v>
      </c>
      <c r="Q24" t="s">
        <v>94</v>
      </c>
      <c r="R24" t="s">
        <v>191</v>
      </c>
      <c r="S24" t="s">
        <v>96</v>
      </c>
      <c r="U24" t="s">
        <v>94</v>
      </c>
      <c r="V24" t="s">
        <v>94</v>
      </c>
      <c r="W24" t="s">
        <v>94</v>
      </c>
      <c r="X24" t="s">
        <v>94</v>
      </c>
      <c r="Y24" t="s">
        <v>93</v>
      </c>
      <c r="Z24" t="s">
        <v>94</v>
      </c>
      <c r="AA24" t="s">
        <v>94</v>
      </c>
      <c r="AK24" t="s">
        <v>97</v>
      </c>
      <c r="AL24" t="s">
        <v>130</v>
      </c>
      <c r="AM24">
        <v>2</v>
      </c>
      <c r="AN24">
        <v>3</v>
      </c>
      <c r="AO24">
        <v>4</v>
      </c>
      <c r="AP24">
        <v>4</v>
      </c>
      <c r="AQ24">
        <v>3</v>
      </c>
      <c r="AR24" t="s">
        <v>111</v>
      </c>
      <c r="AS24" t="s">
        <v>111</v>
      </c>
      <c r="AT24" t="s">
        <v>111</v>
      </c>
      <c r="AU24" t="s">
        <v>111</v>
      </c>
      <c r="AV24">
        <v>3</v>
      </c>
      <c r="AW24">
        <v>2</v>
      </c>
      <c r="AX24" t="s">
        <v>111</v>
      </c>
      <c r="AY24">
        <v>2</v>
      </c>
      <c r="AZ24">
        <v>4</v>
      </c>
      <c r="BA24" t="s">
        <v>98</v>
      </c>
      <c r="BB24">
        <v>4</v>
      </c>
      <c r="BC24">
        <v>2</v>
      </c>
      <c r="BD24">
        <v>3</v>
      </c>
      <c r="BE24">
        <v>3</v>
      </c>
      <c r="BF24">
        <v>3</v>
      </c>
      <c r="BG24">
        <v>3</v>
      </c>
      <c r="BH24" t="s">
        <v>111</v>
      </c>
      <c r="BI24" t="s">
        <v>111</v>
      </c>
      <c r="BJ24">
        <v>3</v>
      </c>
      <c r="BK24">
        <v>3</v>
      </c>
      <c r="BL24">
        <v>3</v>
      </c>
      <c r="BM24">
        <v>3</v>
      </c>
      <c r="BN24">
        <v>3</v>
      </c>
      <c r="BO24">
        <v>4</v>
      </c>
      <c r="BP24">
        <v>3</v>
      </c>
      <c r="BR24">
        <v>416.26</v>
      </c>
      <c r="BS24">
        <v>142.01</v>
      </c>
      <c r="CF24">
        <v>274.25</v>
      </c>
    </row>
    <row r="25" spans="1:84" x14ac:dyDescent="0.35">
      <c r="A25">
        <v>226</v>
      </c>
      <c r="B25" t="s">
        <v>192</v>
      </c>
      <c r="C25">
        <v>2</v>
      </c>
      <c r="D25" t="s">
        <v>89</v>
      </c>
      <c r="E25">
        <v>643763955</v>
      </c>
      <c r="F25" t="s">
        <v>193</v>
      </c>
      <c r="G25" t="s">
        <v>192</v>
      </c>
      <c r="H25" t="s">
        <v>194</v>
      </c>
      <c r="I25" t="s">
        <v>195</v>
      </c>
      <c r="J25" t="s">
        <v>93</v>
      </c>
      <c r="K25" t="s">
        <v>94</v>
      </c>
      <c r="L25" t="s">
        <v>94</v>
      </c>
      <c r="M25" t="s">
        <v>94</v>
      </c>
      <c r="N25" t="s">
        <v>93</v>
      </c>
      <c r="O25" t="s">
        <v>94</v>
      </c>
      <c r="Q25" t="s">
        <v>93</v>
      </c>
      <c r="S25" t="s">
        <v>120</v>
      </c>
      <c r="T25" t="s">
        <v>94</v>
      </c>
      <c r="U25" t="s">
        <v>93</v>
      </c>
      <c r="V25" t="s">
        <v>93</v>
      </c>
      <c r="W25" t="s">
        <v>94</v>
      </c>
      <c r="X25" t="s">
        <v>94</v>
      </c>
      <c r="Y25" t="s">
        <v>93</v>
      </c>
      <c r="Z25" t="s">
        <v>94</v>
      </c>
      <c r="AA25" t="s">
        <v>94</v>
      </c>
      <c r="AC25" t="s">
        <v>106</v>
      </c>
      <c r="AD25" t="s">
        <v>107</v>
      </c>
      <c r="AE25" t="s">
        <v>106</v>
      </c>
      <c r="AF25">
        <v>4</v>
      </c>
      <c r="AG25">
        <v>3</v>
      </c>
      <c r="AH25">
        <v>3</v>
      </c>
      <c r="AI25">
        <v>3</v>
      </c>
      <c r="AK25" t="s">
        <v>109</v>
      </c>
      <c r="AL25">
        <v>2</v>
      </c>
      <c r="AM25">
        <v>2</v>
      </c>
      <c r="AN25">
        <v>3</v>
      </c>
      <c r="AO25">
        <v>4</v>
      </c>
      <c r="AP25">
        <v>4</v>
      </c>
      <c r="AQ25">
        <v>3</v>
      </c>
      <c r="AR25">
        <v>2</v>
      </c>
      <c r="AS25">
        <v>2</v>
      </c>
      <c r="AT25">
        <v>2</v>
      </c>
      <c r="AU25" t="s">
        <v>111</v>
      </c>
      <c r="AV25">
        <v>2</v>
      </c>
      <c r="AW25">
        <v>2</v>
      </c>
      <c r="AX25">
        <v>4</v>
      </c>
      <c r="AY25">
        <v>3</v>
      </c>
      <c r="AZ25">
        <v>4</v>
      </c>
      <c r="BA25" t="s">
        <v>98</v>
      </c>
      <c r="BB25" t="s">
        <v>98</v>
      </c>
      <c r="BC25" t="s">
        <v>98</v>
      </c>
      <c r="BD25">
        <v>3</v>
      </c>
      <c r="BE25">
        <v>3</v>
      </c>
      <c r="BF25">
        <v>3</v>
      </c>
      <c r="BG25">
        <v>3</v>
      </c>
      <c r="BH25">
        <v>4</v>
      </c>
      <c r="BI25" t="s">
        <v>98</v>
      </c>
      <c r="BJ25" t="s">
        <v>99</v>
      </c>
      <c r="BK25">
        <v>4</v>
      </c>
      <c r="BL25" t="s">
        <v>99</v>
      </c>
      <c r="BM25">
        <v>4</v>
      </c>
      <c r="BN25">
        <v>3</v>
      </c>
      <c r="BO25" t="s">
        <v>99</v>
      </c>
      <c r="BP25" t="s">
        <v>99</v>
      </c>
      <c r="BQ25" t="s">
        <v>196</v>
      </c>
      <c r="BR25">
        <v>404.17</v>
      </c>
      <c r="BS25">
        <v>145.22999999999999</v>
      </c>
      <c r="CF25">
        <v>258.94</v>
      </c>
    </row>
    <row r="26" spans="1:84" x14ac:dyDescent="0.35">
      <c r="A26">
        <v>227</v>
      </c>
      <c r="B26" t="s">
        <v>197</v>
      </c>
      <c r="C26">
        <v>2</v>
      </c>
      <c r="D26" t="s">
        <v>89</v>
      </c>
      <c r="E26">
        <v>1633762539</v>
      </c>
      <c r="F26" t="s">
        <v>198</v>
      </c>
      <c r="G26" t="s">
        <v>197</v>
      </c>
      <c r="H26" t="s">
        <v>199</v>
      </c>
      <c r="I26" t="s">
        <v>200</v>
      </c>
      <c r="J26" t="s">
        <v>94</v>
      </c>
      <c r="K26" t="s">
        <v>93</v>
      </c>
      <c r="L26" t="s">
        <v>94</v>
      </c>
      <c r="M26" t="s">
        <v>94</v>
      </c>
      <c r="N26" t="s">
        <v>94</v>
      </c>
      <c r="O26" t="s">
        <v>94</v>
      </c>
      <c r="Q26" t="s">
        <v>93</v>
      </c>
      <c r="S26" t="s">
        <v>96</v>
      </c>
      <c r="T26" t="s">
        <v>105</v>
      </c>
      <c r="U26" t="s">
        <v>93</v>
      </c>
      <c r="V26" t="s">
        <v>93</v>
      </c>
      <c r="W26" t="s">
        <v>94</v>
      </c>
      <c r="X26" t="s">
        <v>94</v>
      </c>
      <c r="Y26" t="s">
        <v>94</v>
      </c>
      <c r="Z26" t="s">
        <v>93</v>
      </c>
      <c r="AA26" t="s">
        <v>94</v>
      </c>
      <c r="AC26" t="s">
        <v>108</v>
      </c>
      <c r="AD26" t="s">
        <v>108</v>
      </c>
      <c r="AE26" t="s">
        <v>107</v>
      </c>
      <c r="AF26" t="s">
        <v>108</v>
      </c>
      <c r="AG26" t="s">
        <v>108</v>
      </c>
      <c r="AH26" t="s">
        <v>108</v>
      </c>
      <c r="AI26" t="s">
        <v>108</v>
      </c>
      <c r="AK26" t="s">
        <v>158</v>
      </c>
      <c r="AL26">
        <v>3</v>
      </c>
      <c r="AM26">
        <v>3</v>
      </c>
      <c r="AN26">
        <v>4</v>
      </c>
      <c r="AO26" t="s">
        <v>110</v>
      </c>
      <c r="AP26">
        <v>4</v>
      </c>
      <c r="AQ26" t="s">
        <v>98</v>
      </c>
      <c r="AR26">
        <v>3</v>
      </c>
      <c r="AS26" t="s">
        <v>98</v>
      </c>
      <c r="AT26">
        <v>4</v>
      </c>
      <c r="AU26">
        <v>3</v>
      </c>
      <c r="AV26">
        <v>4</v>
      </c>
      <c r="AW26">
        <v>4</v>
      </c>
      <c r="AX26" t="s">
        <v>98</v>
      </c>
      <c r="AY26" t="s">
        <v>98</v>
      </c>
      <c r="AZ26">
        <v>3</v>
      </c>
      <c r="BA26">
        <v>4</v>
      </c>
      <c r="BB26">
        <v>4</v>
      </c>
      <c r="BC26">
        <v>4</v>
      </c>
      <c r="BD26">
        <v>3</v>
      </c>
      <c r="BE26">
        <v>2</v>
      </c>
      <c r="BF26">
        <v>4</v>
      </c>
      <c r="BG26">
        <v>4</v>
      </c>
      <c r="BH26">
        <v>4</v>
      </c>
      <c r="BI26">
        <v>3</v>
      </c>
      <c r="BJ26" t="s">
        <v>99</v>
      </c>
      <c r="BK26" t="s">
        <v>99</v>
      </c>
      <c r="BL26" t="s">
        <v>99</v>
      </c>
      <c r="BM26" t="s">
        <v>99</v>
      </c>
      <c r="BN26">
        <v>4</v>
      </c>
      <c r="BO26" t="s">
        <v>99</v>
      </c>
      <c r="BP26" t="s">
        <v>99</v>
      </c>
      <c r="BQ26" t="s">
        <v>201</v>
      </c>
      <c r="BR26">
        <v>610.73</v>
      </c>
      <c r="BS26">
        <v>275.76</v>
      </c>
      <c r="CF26">
        <v>334.97</v>
      </c>
    </row>
    <row r="27" spans="1:84" x14ac:dyDescent="0.35">
      <c r="A27">
        <v>228</v>
      </c>
      <c r="B27" t="s">
        <v>202</v>
      </c>
      <c r="C27">
        <v>2</v>
      </c>
      <c r="D27" t="s">
        <v>89</v>
      </c>
      <c r="E27">
        <v>1046872551</v>
      </c>
      <c r="F27" t="s">
        <v>203</v>
      </c>
      <c r="G27" t="s">
        <v>202</v>
      </c>
      <c r="H27" t="s">
        <v>204</v>
      </c>
      <c r="I27" t="s">
        <v>205</v>
      </c>
      <c r="J27" t="s">
        <v>93</v>
      </c>
      <c r="K27" t="s">
        <v>94</v>
      </c>
      <c r="L27" t="s">
        <v>94</v>
      </c>
      <c r="M27" t="s">
        <v>94</v>
      </c>
      <c r="N27" t="s">
        <v>94</v>
      </c>
      <c r="O27" t="s">
        <v>94</v>
      </c>
      <c r="Q27" t="s">
        <v>93</v>
      </c>
      <c r="S27" t="s">
        <v>120</v>
      </c>
      <c r="T27" t="s">
        <v>94</v>
      </c>
      <c r="U27" t="s">
        <v>94</v>
      </c>
      <c r="V27" t="s">
        <v>94</v>
      </c>
      <c r="W27" t="s">
        <v>94</v>
      </c>
      <c r="X27" t="s">
        <v>94</v>
      </c>
      <c r="Y27" t="s">
        <v>94</v>
      </c>
      <c r="Z27" t="s">
        <v>94</v>
      </c>
      <c r="AA27" t="s">
        <v>94</v>
      </c>
      <c r="AB27" t="s">
        <v>206</v>
      </c>
      <c r="AC27" t="s">
        <v>128</v>
      </c>
      <c r="AD27" t="s">
        <v>128</v>
      </c>
      <c r="AE27" t="s">
        <v>128</v>
      </c>
      <c r="AF27" t="s">
        <v>108</v>
      </c>
      <c r="AG27" t="s">
        <v>108</v>
      </c>
      <c r="AH27" t="s">
        <v>108</v>
      </c>
      <c r="AI27">
        <v>4</v>
      </c>
      <c r="AK27" t="s">
        <v>109</v>
      </c>
      <c r="AL27">
        <v>3</v>
      </c>
      <c r="AM27">
        <v>4</v>
      </c>
      <c r="AN27" t="s">
        <v>110</v>
      </c>
      <c r="AO27" t="s">
        <v>110</v>
      </c>
      <c r="AP27">
        <v>4</v>
      </c>
      <c r="AQ27" t="s">
        <v>98</v>
      </c>
      <c r="AR27">
        <v>2</v>
      </c>
      <c r="AS27">
        <v>3</v>
      </c>
      <c r="AT27">
        <v>3</v>
      </c>
      <c r="AU27">
        <v>3</v>
      </c>
      <c r="AV27">
        <v>3</v>
      </c>
      <c r="AW27">
        <v>3</v>
      </c>
      <c r="AX27">
        <v>3</v>
      </c>
      <c r="AY27">
        <v>3</v>
      </c>
      <c r="AZ27">
        <v>4</v>
      </c>
      <c r="BA27" t="s">
        <v>98</v>
      </c>
      <c r="BB27">
        <v>3</v>
      </c>
      <c r="BC27">
        <v>4</v>
      </c>
      <c r="BD27" t="s">
        <v>111</v>
      </c>
      <c r="BE27">
        <v>3</v>
      </c>
      <c r="BF27">
        <v>2</v>
      </c>
      <c r="BG27">
        <v>3</v>
      </c>
      <c r="BH27" t="s">
        <v>111</v>
      </c>
      <c r="BI27">
        <v>3</v>
      </c>
      <c r="BJ27">
        <v>4</v>
      </c>
      <c r="BK27" t="s">
        <v>99</v>
      </c>
      <c r="BL27">
        <v>4</v>
      </c>
      <c r="BM27" t="s">
        <v>99</v>
      </c>
      <c r="BN27" t="s">
        <v>99</v>
      </c>
      <c r="BO27" t="s">
        <v>99</v>
      </c>
      <c r="BP27" t="s">
        <v>99</v>
      </c>
      <c r="BR27">
        <v>294.91000000000003</v>
      </c>
      <c r="BS27">
        <v>143.25</v>
      </c>
      <c r="CF27">
        <v>151.66</v>
      </c>
    </row>
    <row r="28" spans="1:84" x14ac:dyDescent="0.35">
      <c r="A28">
        <v>229</v>
      </c>
      <c r="B28" t="s">
        <v>207</v>
      </c>
      <c r="C28">
        <v>2</v>
      </c>
      <c r="D28" t="s">
        <v>89</v>
      </c>
      <c r="E28">
        <v>958942524</v>
      </c>
      <c r="F28" t="s">
        <v>208</v>
      </c>
      <c r="G28" t="s">
        <v>207</v>
      </c>
      <c r="H28" t="s">
        <v>209</v>
      </c>
      <c r="I28" t="s">
        <v>210</v>
      </c>
      <c r="J28" t="s">
        <v>93</v>
      </c>
      <c r="K28" t="s">
        <v>94</v>
      </c>
      <c r="L28" t="s">
        <v>94</v>
      </c>
      <c r="M28" t="s">
        <v>94</v>
      </c>
      <c r="N28" t="s">
        <v>93</v>
      </c>
      <c r="O28" t="s">
        <v>93</v>
      </c>
      <c r="Q28" t="s">
        <v>93</v>
      </c>
      <c r="S28" t="s">
        <v>96</v>
      </c>
      <c r="T28" t="s">
        <v>105</v>
      </c>
      <c r="U28" t="s">
        <v>93</v>
      </c>
      <c r="V28" t="s">
        <v>93</v>
      </c>
      <c r="W28" t="s">
        <v>93</v>
      </c>
      <c r="X28" t="s">
        <v>93</v>
      </c>
      <c r="Y28" t="s">
        <v>93</v>
      </c>
      <c r="Z28" t="s">
        <v>93</v>
      </c>
      <c r="AA28" t="s">
        <v>93</v>
      </c>
      <c r="AC28" t="s">
        <v>128</v>
      </c>
      <c r="AD28" t="s">
        <v>107</v>
      </c>
      <c r="AE28" t="s">
        <v>106</v>
      </c>
      <c r="AF28">
        <v>4</v>
      </c>
      <c r="AG28" t="s">
        <v>108</v>
      </c>
      <c r="AH28" t="s">
        <v>121</v>
      </c>
      <c r="AI28" t="s">
        <v>108</v>
      </c>
      <c r="AK28" t="s">
        <v>109</v>
      </c>
      <c r="AL28" t="s">
        <v>130</v>
      </c>
      <c r="AM28">
        <v>4</v>
      </c>
      <c r="AN28">
        <v>2</v>
      </c>
      <c r="AO28" t="s">
        <v>110</v>
      </c>
      <c r="AP28">
        <v>2</v>
      </c>
      <c r="AQ28">
        <v>3</v>
      </c>
      <c r="AR28">
        <v>4</v>
      </c>
      <c r="AS28">
        <v>4</v>
      </c>
      <c r="AT28">
        <v>4</v>
      </c>
      <c r="AU28">
        <v>4</v>
      </c>
      <c r="AV28">
        <v>2</v>
      </c>
      <c r="AW28">
        <v>4</v>
      </c>
      <c r="AX28" t="s">
        <v>98</v>
      </c>
      <c r="AY28" t="s">
        <v>111</v>
      </c>
      <c r="AZ28">
        <v>3</v>
      </c>
      <c r="BA28">
        <v>2</v>
      </c>
      <c r="BB28" t="s">
        <v>98</v>
      </c>
      <c r="BC28" t="s">
        <v>98</v>
      </c>
      <c r="BD28">
        <v>4</v>
      </c>
      <c r="BE28" t="s">
        <v>98</v>
      </c>
      <c r="BF28">
        <v>4</v>
      </c>
      <c r="BG28">
        <v>3</v>
      </c>
      <c r="BH28">
        <v>4</v>
      </c>
      <c r="BI28">
        <v>3</v>
      </c>
      <c r="BJ28">
        <v>3</v>
      </c>
      <c r="BK28" t="s">
        <v>99</v>
      </c>
      <c r="BL28">
        <v>3</v>
      </c>
      <c r="BM28" t="s">
        <v>99</v>
      </c>
      <c r="BN28">
        <v>3</v>
      </c>
      <c r="BO28">
        <v>2</v>
      </c>
      <c r="BP28">
        <v>2</v>
      </c>
      <c r="BQ28" t="s">
        <v>211</v>
      </c>
      <c r="BR28">
        <v>633.76</v>
      </c>
      <c r="BS28">
        <v>145.21</v>
      </c>
      <c r="CF28">
        <v>488.55</v>
      </c>
    </row>
    <row r="29" spans="1:84" x14ac:dyDescent="0.35">
      <c r="A29">
        <v>230</v>
      </c>
      <c r="B29" t="s">
        <v>212</v>
      </c>
      <c r="C29">
        <v>2</v>
      </c>
      <c r="D29" t="s">
        <v>89</v>
      </c>
      <c r="E29">
        <v>1767381198</v>
      </c>
      <c r="F29" t="s">
        <v>213</v>
      </c>
      <c r="G29" t="s">
        <v>212</v>
      </c>
      <c r="H29" t="s">
        <v>214</v>
      </c>
      <c r="I29" t="s">
        <v>215</v>
      </c>
      <c r="J29" t="s">
        <v>93</v>
      </c>
      <c r="K29" t="s">
        <v>94</v>
      </c>
      <c r="L29" t="s">
        <v>94</v>
      </c>
      <c r="M29" t="s">
        <v>94</v>
      </c>
      <c r="N29" t="s">
        <v>94</v>
      </c>
      <c r="O29" t="s">
        <v>94</v>
      </c>
      <c r="Q29" t="s">
        <v>94</v>
      </c>
      <c r="R29" t="s">
        <v>216</v>
      </c>
      <c r="S29" t="s">
        <v>120</v>
      </c>
      <c r="U29" t="s">
        <v>93</v>
      </c>
      <c r="V29" t="s">
        <v>93</v>
      </c>
      <c r="W29" t="s">
        <v>94</v>
      </c>
      <c r="X29" t="s">
        <v>93</v>
      </c>
      <c r="Y29" t="s">
        <v>93</v>
      </c>
      <c r="Z29" t="s">
        <v>94</v>
      </c>
      <c r="AA29" t="s">
        <v>93</v>
      </c>
      <c r="AK29" t="s">
        <v>97</v>
      </c>
      <c r="AL29" t="s">
        <v>130</v>
      </c>
      <c r="AM29" t="s">
        <v>130</v>
      </c>
      <c r="AN29">
        <v>3</v>
      </c>
      <c r="AO29">
        <v>3</v>
      </c>
      <c r="AP29" t="s">
        <v>98</v>
      </c>
      <c r="AQ29" t="s">
        <v>98</v>
      </c>
      <c r="AR29">
        <v>3</v>
      </c>
      <c r="AS29">
        <v>2</v>
      </c>
      <c r="AT29">
        <v>4</v>
      </c>
      <c r="AU29">
        <v>4</v>
      </c>
      <c r="AV29">
        <v>4</v>
      </c>
      <c r="AW29" t="s">
        <v>111</v>
      </c>
      <c r="AX29">
        <v>4</v>
      </c>
      <c r="AY29" t="s">
        <v>98</v>
      </c>
      <c r="AZ29" t="s">
        <v>98</v>
      </c>
      <c r="BA29" t="s">
        <v>98</v>
      </c>
      <c r="BB29" t="s">
        <v>98</v>
      </c>
      <c r="BC29" t="s">
        <v>98</v>
      </c>
      <c r="BD29" t="s">
        <v>111</v>
      </c>
      <c r="BE29" t="s">
        <v>111</v>
      </c>
      <c r="BF29">
        <v>4</v>
      </c>
      <c r="BG29" t="s">
        <v>98</v>
      </c>
      <c r="BH29">
        <v>3</v>
      </c>
      <c r="BI29" t="s">
        <v>111</v>
      </c>
      <c r="BJ29" t="s">
        <v>99</v>
      </c>
      <c r="BK29" t="s">
        <v>99</v>
      </c>
      <c r="BL29" t="s">
        <v>99</v>
      </c>
      <c r="BM29" t="s">
        <v>99</v>
      </c>
      <c r="BN29" t="s">
        <v>99</v>
      </c>
      <c r="BO29">
        <v>2</v>
      </c>
      <c r="BP29" t="s">
        <v>99</v>
      </c>
      <c r="BR29">
        <v>176.56</v>
      </c>
      <c r="BS29">
        <v>56.09</v>
      </c>
      <c r="CF29">
        <v>120.47</v>
      </c>
    </row>
    <row r="30" spans="1:84" x14ac:dyDescent="0.35">
      <c r="A30">
        <v>231</v>
      </c>
      <c r="B30" t="s">
        <v>217</v>
      </c>
      <c r="C30">
        <v>2</v>
      </c>
      <c r="D30" t="s">
        <v>89</v>
      </c>
      <c r="E30">
        <v>123587013</v>
      </c>
      <c r="F30" t="s">
        <v>218</v>
      </c>
      <c r="G30" t="s">
        <v>217</v>
      </c>
      <c r="H30" t="s">
        <v>219</v>
      </c>
      <c r="I30" t="s">
        <v>220</v>
      </c>
      <c r="J30" t="s">
        <v>93</v>
      </c>
      <c r="K30" t="s">
        <v>94</v>
      </c>
      <c r="L30" t="s">
        <v>94</v>
      </c>
      <c r="M30" t="s">
        <v>93</v>
      </c>
      <c r="N30" t="s">
        <v>93</v>
      </c>
      <c r="O30" t="s">
        <v>94</v>
      </c>
      <c r="Q30" t="s">
        <v>93</v>
      </c>
      <c r="S30" t="s">
        <v>96</v>
      </c>
      <c r="T30" t="s">
        <v>93</v>
      </c>
      <c r="U30" t="s">
        <v>93</v>
      </c>
      <c r="V30" t="s">
        <v>93</v>
      </c>
      <c r="W30" t="s">
        <v>93</v>
      </c>
      <c r="X30" t="s">
        <v>93</v>
      </c>
      <c r="Y30" t="s">
        <v>93</v>
      </c>
      <c r="Z30" t="s">
        <v>93</v>
      </c>
      <c r="AA30" t="s">
        <v>93</v>
      </c>
      <c r="AC30" t="s">
        <v>107</v>
      </c>
      <c r="AD30" t="s">
        <v>106</v>
      </c>
      <c r="AE30" t="s">
        <v>107</v>
      </c>
      <c r="AF30" t="s">
        <v>121</v>
      </c>
      <c r="AG30" t="s">
        <v>121</v>
      </c>
      <c r="AH30" t="s">
        <v>121</v>
      </c>
      <c r="AI30" t="s">
        <v>108</v>
      </c>
      <c r="AK30" t="s">
        <v>97</v>
      </c>
      <c r="AL30" t="s">
        <v>130</v>
      </c>
      <c r="AM30">
        <v>2</v>
      </c>
      <c r="AN30">
        <v>3</v>
      </c>
      <c r="AO30" t="s">
        <v>110</v>
      </c>
      <c r="AP30" t="s">
        <v>98</v>
      </c>
      <c r="AQ30" t="s">
        <v>98</v>
      </c>
      <c r="AR30">
        <v>3</v>
      </c>
      <c r="AS30">
        <v>2</v>
      </c>
      <c r="AT30">
        <v>3</v>
      </c>
      <c r="AU30">
        <v>2</v>
      </c>
      <c r="AV30">
        <v>4</v>
      </c>
      <c r="AW30" t="s">
        <v>98</v>
      </c>
      <c r="AX30">
        <v>4</v>
      </c>
      <c r="AY30">
        <v>3</v>
      </c>
      <c r="AZ30" t="s">
        <v>98</v>
      </c>
      <c r="BA30" t="s">
        <v>98</v>
      </c>
      <c r="BB30" t="s">
        <v>98</v>
      </c>
      <c r="BC30" t="s">
        <v>98</v>
      </c>
      <c r="BD30">
        <v>2</v>
      </c>
      <c r="BE30">
        <v>3</v>
      </c>
      <c r="BF30">
        <v>3</v>
      </c>
      <c r="BG30">
        <v>4</v>
      </c>
      <c r="BH30">
        <v>3</v>
      </c>
      <c r="BI30">
        <v>3</v>
      </c>
      <c r="BJ30">
        <v>2</v>
      </c>
      <c r="BK30">
        <v>4</v>
      </c>
      <c r="BL30">
        <v>4</v>
      </c>
      <c r="BM30" t="s">
        <v>99</v>
      </c>
      <c r="BN30">
        <v>4</v>
      </c>
      <c r="BO30">
        <v>3</v>
      </c>
      <c r="BP30">
        <v>4</v>
      </c>
      <c r="BR30">
        <v>202.93</v>
      </c>
      <c r="BS30">
        <v>88.37</v>
      </c>
      <c r="CF30">
        <v>114.56</v>
      </c>
    </row>
    <row r="31" spans="1:84" x14ac:dyDescent="0.35">
      <c r="A31">
        <v>232</v>
      </c>
      <c r="B31" t="s">
        <v>221</v>
      </c>
      <c r="C31">
        <v>2</v>
      </c>
      <c r="D31" t="s">
        <v>89</v>
      </c>
      <c r="E31">
        <v>89146958</v>
      </c>
      <c r="F31" t="s">
        <v>222</v>
      </c>
      <c r="G31" t="s">
        <v>221</v>
      </c>
      <c r="H31" t="s">
        <v>223</v>
      </c>
      <c r="I31" t="s">
        <v>224</v>
      </c>
      <c r="J31" t="s">
        <v>93</v>
      </c>
      <c r="K31" t="s">
        <v>94</v>
      </c>
      <c r="L31" t="s">
        <v>93</v>
      </c>
      <c r="M31" t="s">
        <v>94</v>
      </c>
      <c r="N31" t="s">
        <v>93</v>
      </c>
      <c r="O31" t="s">
        <v>94</v>
      </c>
      <c r="Q31" t="s">
        <v>94</v>
      </c>
      <c r="R31" t="s">
        <v>225</v>
      </c>
      <c r="S31" t="s">
        <v>96</v>
      </c>
      <c r="U31" t="s">
        <v>93</v>
      </c>
      <c r="V31" t="s">
        <v>94</v>
      </c>
      <c r="W31" t="s">
        <v>94</v>
      </c>
      <c r="X31" t="s">
        <v>93</v>
      </c>
      <c r="Y31" t="s">
        <v>93</v>
      </c>
      <c r="Z31" t="s">
        <v>94</v>
      </c>
      <c r="AA31" t="s">
        <v>94</v>
      </c>
      <c r="AB31" t="s">
        <v>226</v>
      </c>
      <c r="AK31" t="s">
        <v>158</v>
      </c>
      <c r="AL31">
        <v>4</v>
      </c>
      <c r="AM31">
        <v>4</v>
      </c>
      <c r="AN31">
        <v>4</v>
      </c>
      <c r="AO31" t="s">
        <v>110</v>
      </c>
      <c r="AP31">
        <v>3</v>
      </c>
      <c r="AQ31">
        <v>4</v>
      </c>
      <c r="AR31">
        <v>2</v>
      </c>
      <c r="AS31" t="s">
        <v>98</v>
      </c>
      <c r="AT31" t="s">
        <v>111</v>
      </c>
      <c r="AU31" t="s">
        <v>111</v>
      </c>
      <c r="AV31">
        <v>3</v>
      </c>
      <c r="AW31">
        <v>4</v>
      </c>
      <c r="AX31">
        <v>3</v>
      </c>
      <c r="AY31">
        <v>4</v>
      </c>
      <c r="AZ31">
        <v>4</v>
      </c>
      <c r="BA31" t="s">
        <v>98</v>
      </c>
      <c r="BB31">
        <v>3</v>
      </c>
      <c r="BC31">
        <v>4</v>
      </c>
      <c r="BD31">
        <v>3</v>
      </c>
      <c r="BE31">
        <v>4</v>
      </c>
      <c r="BF31">
        <v>4</v>
      </c>
      <c r="BG31" t="s">
        <v>98</v>
      </c>
      <c r="BH31">
        <v>3</v>
      </c>
      <c r="BI31" t="s">
        <v>98</v>
      </c>
      <c r="BJ31">
        <v>3</v>
      </c>
      <c r="BK31">
        <v>4</v>
      </c>
      <c r="BL31">
        <v>4</v>
      </c>
      <c r="BM31">
        <v>4</v>
      </c>
      <c r="BN31">
        <v>3</v>
      </c>
      <c r="BO31">
        <v>3</v>
      </c>
      <c r="BP31">
        <v>4</v>
      </c>
      <c r="BR31">
        <v>190.88</v>
      </c>
      <c r="BS31">
        <v>86.52</v>
      </c>
      <c r="CF31">
        <v>104.36</v>
      </c>
    </row>
    <row r="32" spans="1:84" x14ac:dyDescent="0.35">
      <c r="A32">
        <v>233</v>
      </c>
      <c r="B32" t="s">
        <v>227</v>
      </c>
      <c r="C32">
        <v>2</v>
      </c>
      <c r="D32" t="s">
        <v>89</v>
      </c>
      <c r="E32">
        <v>1159008621</v>
      </c>
      <c r="F32" t="s">
        <v>228</v>
      </c>
      <c r="G32" t="s">
        <v>227</v>
      </c>
      <c r="H32" t="s">
        <v>229</v>
      </c>
      <c r="I32" t="s">
        <v>230</v>
      </c>
      <c r="J32" t="s">
        <v>93</v>
      </c>
      <c r="K32" t="s">
        <v>94</v>
      </c>
      <c r="L32" t="s">
        <v>93</v>
      </c>
      <c r="M32" t="s">
        <v>94</v>
      </c>
      <c r="N32" t="s">
        <v>94</v>
      </c>
      <c r="O32" t="s">
        <v>94</v>
      </c>
      <c r="Q32" t="s">
        <v>93</v>
      </c>
      <c r="S32" t="s">
        <v>120</v>
      </c>
      <c r="T32" t="s">
        <v>105</v>
      </c>
      <c r="U32" t="s">
        <v>94</v>
      </c>
      <c r="V32" t="s">
        <v>94</v>
      </c>
      <c r="W32" t="s">
        <v>94</v>
      </c>
      <c r="X32" t="s">
        <v>94</v>
      </c>
      <c r="Y32" t="s">
        <v>93</v>
      </c>
      <c r="Z32" t="s">
        <v>93</v>
      </c>
      <c r="AA32" t="s">
        <v>94</v>
      </c>
      <c r="AB32" t="s">
        <v>231</v>
      </c>
      <c r="AC32" t="s">
        <v>106</v>
      </c>
      <c r="AD32" t="s">
        <v>106</v>
      </c>
      <c r="AE32" t="s">
        <v>106</v>
      </c>
      <c r="AF32">
        <v>3</v>
      </c>
      <c r="AG32" t="s">
        <v>108</v>
      </c>
      <c r="AH32">
        <v>3</v>
      </c>
      <c r="AI32">
        <v>3</v>
      </c>
      <c r="AK32" t="s">
        <v>97</v>
      </c>
      <c r="AL32">
        <v>2</v>
      </c>
      <c r="AM32">
        <v>3</v>
      </c>
      <c r="AN32">
        <v>4</v>
      </c>
      <c r="AO32" t="s">
        <v>110</v>
      </c>
      <c r="AP32">
        <v>3</v>
      </c>
      <c r="AQ32">
        <v>4</v>
      </c>
      <c r="AR32">
        <v>2</v>
      </c>
      <c r="AS32">
        <v>2</v>
      </c>
      <c r="AT32">
        <v>2</v>
      </c>
      <c r="AU32">
        <v>2</v>
      </c>
      <c r="AV32" t="s">
        <v>111</v>
      </c>
      <c r="AW32" t="s">
        <v>111</v>
      </c>
      <c r="AX32">
        <v>3</v>
      </c>
      <c r="AY32">
        <v>3</v>
      </c>
      <c r="AZ32">
        <v>3</v>
      </c>
      <c r="BA32">
        <v>4</v>
      </c>
      <c r="BB32">
        <v>4</v>
      </c>
      <c r="BC32">
        <v>4</v>
      </c>
      <c r="BD32" t="s">
        <v>111</v>
      </c>
      <c r="BE32" t="s">
        <v>111</v>
      </c>
      <c r="BF32">
        <v>2</v>
      </c>
      <c r="BG32">
        <v>2</v>
      </c>
      <c r="BH32">
        <v>4</v>
      </c>
      <c r="BI32">
        <v>4</v>
      </c>
      <c r="BJ32">
        <v>3</v>
      </c>
      <c r="BK32">
        <v>2</v>
      </c>
      <c r="BL32">
        <v>3</v>
      </c>
      <c r="BM32">
        <v>3</v>
      </c>
      <c r="BN32">
        <v>3</v>
      </c>
      <c r="BO32">
        <v>3</v>
      </c>
      <c r="BP32">
        <v>4</v>
      </c>
      <c r="BR32">
        <v>1622.14</v>
      </c>
      <c r="BS32">
        <v>1502.09</v>
      </c>
      <c r="CF32">
        <v>120.05</v>
      </c>
    </row>
    <row r="33" spans="1:84" x14ac:dyDescent="0.35">
      <c r="A33">
        <v>234</v>
      </c>
      <c r="B33" t="s">
        <v>232</v>
      </c>
      <c r="C33">
        <v>2</v>
      </c>
      <c r="D33" t="s">
        <v>89</v>
      </c>
      <c r="E33">
        <v>1665992331</v>
      </c>
      <c r="F33" t="s">
        <v>233</v>
      </c>
      <c r="G33" t="s">
        <v>232</v>
      </c>
      <c r="H33" t="s">
        <v>234</v>
      </c>
      <c r="I33" t="s">
        <v>235</v>
      </c>
      <c r="J33" t="s">
        <v>93</v>
      </c>
      <c r="K33" t="s">
        <v>94</v>
      </c>
      <c r="L33" t="s">
        <v>93</v>
      </c>
      <c r="M33" t="s">
        <v>94</v>
      </c>
      <c r="N33" t="s">
        <v>94</v>
      </c>
      <c r="O33" t="s">
        <v>94</v>
      </c>
      <c r="Q33" t="s">
        <v>94</v>
      </c>
      <c r="R33" t="s">
        <v>236</v>
      </c>
      <c r="S33" t="s">
        <v>120</v>
      </c>
      <c r="U33" t="s">
        <v>93</v>
      </c>
      <c r="V33" t="s">
        <v>93</v>
      </c>
      <c r="W33" t="s">
        <v>94</v>
      </c>
      <c r="X33" t="s">
        <v>94</v>
      </c>
      <c r="Y33" t="s">
        <v>93</v>
      </c>
      <c r="Z33" t="s">
        <v>93</v>
      </c>
      <c r="AA33" t="s">
        <v>94</v>
      </c>
      <c r="AB33" t="s">
        <v>237</v>
      </c>
      <c r="AK33" t="s">
        <v>158</v>
      </c>
      <c r="AL33">
        <v>2</v>
      </c>
      <c r="AM33">
        <v>3</v>
      </c>
      <c r="AN33">
        <v>4</v>
      </c>
      <c r="AO33">
        <v>3</v>
      </c>
      <c r="AP33" t="s">
        <v>98</v>
      </c>
      <c r="AQ33" t="s">
        <v>98</v>
      </c>
      <c r="AR33">
        <v>3</v>
      </c>
      <c r="AS33">
        <v>2</v>
      </c>
      <c r="AT33">
        <v>2</v>
      </c>
      <c r="AU33" t="s">
        <v>111</v>
      </c>
      <c r="AV33">
        <v>3</v>
      </c>
      <c r="AW33" t="s">
        <v>98</v>
      </c>
      <c r="AX33">
        <v>3</v>
      </c>
      <c r="AY33" t="s">
        <v>111</v>
      </c>
      <c r="AZ33">
        <v>4</v>
      </c>
      <c r="BA33" t="s">
        <v>98</v>
      </c>
      <c r="BB33">
        <v>4</v>
      </c>
      <c r="BC33">
        <v>2</v>
      </c>
      <c r="BD33">
        <v>3</v>
      </c>
      <c r="BE33">
        <v>3</v>
      </c>
      <c r="BF33" t="s">
        <v>98</v>
      </c>
      <c r="BG33">
        <v>3</v>
      </c>
      <c r="BH33" t="s">
        <v>98</v>
      </c>
      <c r="BI33">
        <v>4</v>
      </c>
      <c r="BJ33">
        <v>3</v>
      </c>
      <c r="BK33">
        <v>2</v>
      </c>
      <c r="BL33">
        <v>4</v>
      </c>
      <c r="BM33">
        <v>4</v>
      </c>
      <c r="BN33" t="s">
        <v>112</v>
      </c>
      <c r="BO33">
        <v>3</v>
      </c>
      <c r="BP33">
        <v>2</v>
      </c>
      <c r="BR33">
        <v>249.34</v>
      </c>
      <c r="BS33">
        <v>105.03</v>
      </c>
      <c r="CF33">
        <v>144.31</v>
      </c>
    </row>
    <row r="34" spans="1:84" x14ac:dyDescent="0.35">
      <c r="A34">
        <v>235</v>
      </c>
      <c r="B34" t="s">
        <v>238</v>
      </c>
      <c r="C34">
        <v>2</v>
      </c>
      <c r="D34" t="s">
        <v>89</v>
      </c>
      <c r="E34">
        <v>627708261</v>
      </c>
      <c r="F34" t="s">
        <v>239</v>
      </c>
      <c r="G34" t="s">
        <v>238</v>
      </c>
      <c r="H34" t="s">
        <v>240</v>
      </c>
      <c r="I34" t="s">
        <v>241</v>
      </c>
      <c r="J34" t="s">
        <v>93</v>
      </c>
      <c r="K34" t="s">
        <v>94</v>
      </c>
      <c r="L34" t="s">
        <v>94</v>
      </c>
      <c r="M34" t="s">
        <v>94</v>
      </c>
      <c r="N34" t="s">
        <v>94</v>
      </c>
      <c r="O34" t="s">
        <v>93</v>
      </c>
      <c r="Q34" t="s">
        <v>93</v>
      </c>
      <c r="S34" t="s">
        <v>143</v>
      </c>
      <c r="T34" t="s">
        <v>105</v>
      </c>
      <c r="U34" t="s">
        <v>94</v>
      </c>
      <c r="V34" t="s">
        <v>94</v>
      </c>
      <c r="W34" t="s">
        <v>94</v>
      </c>
      <c r="X34" t="s">
        <v>94</v>
      </c>
      <c r="Y34" t="s">
        <v>93</v>
      </c>
      <c r="Z34" t="s">
        <v>93</v>
      </c>
      <c r="AA34" t="s">
        <v>94</v>
      </c>
      <c r="AC34" t="s">
        <v>108</v>
      </c>
      <c r="AD34" t="s">
        <v>108</v>
      </c>
      <c r="AE34" t="s">
        <v>128</v>
      </c>
      <c r="AF34">
        <v>4</v>
      </c>
      <c r="AG34" t="s">
        <v>108</v>
      </c>
      <c r="AH34" t="s">
        <v>108</v>
      </c>
      <c r="AI34">
        <v>4</v>
      </c>
      <c r="AK34" t="s">
        <v>97</v>
      </c>
      <c r="AL34" t="s">
        <v>130</v>
      </c>
      <c r="AM34">
        <v>2</v>
      </c>
      <c r="AN34">
        <v>3</v>
      </c>
      <c r="AO34">
        <v>4</v>
      </c>
      <c r="AP34">
        <v>3</v>
      </c>
      <c r="AQ34">
        <v>4</v>
      </c>
      <c r="AR34">
        <v>4</v>
      </c>
      <c r="AS34">
        <v>3</v>
      </c>
      <c r="AT34">
        <v>2</v>
      </c>
      <c r="AU34">
        <v>2</v>
      </c>
      <c r="AV34">
        <v>3</v>
      </c>
      <c r="AW34">
        <v>2</v>
      </c>
      <c r="AX34">
        <v>4</v>
      </c>
      <c r="AY34" t="s">
        <v>98</v>
      </c>
      <c r="AZ34">
        <v>3</v>
      </c>
      <c r="BA34">
        <v>3</v>
      </c>
      <c r="BB34" t="s">
        <v>98</v>
      </c>
      <c r="BC34">
        <v>4</v>
      </c>
      <c r="BD34">
        <v>3</v>
      </c>
      <c r="BE34">
        <v>3</v>
      </c>
      <c r="BF34">
        <v>2</v>
      </c>
      <c r="BG34">
        <v>3</v>
      </c>
      <c r="BH34" t="s">
        <v>98</v>
      </c>
      <c r="BI34">
        <v>4</v>
      </c>
      <c r="BJ34">
        <v>4</v>
      </c>
      <c r="BK34">
        <v>3</v>
      </c>
      <c r="BL34">
        <v>4</v>
      </c>
      <c r="BM34">
        <v>4</v>
      </c>
      <c r="BN34" t="s">
        <v>99</v>
      </c>
      <c r="BO34">
        <v>3</v>
      </c>
      <c r="BP34">
        <v>4</v>
      </c>
      <c r="BR34">
        <v>724.79</v>
      </c>
      <c r="BS34">
        <v>184.78</v>
      </c>
      <c r="CF34">
        <v>540.01</v>
      </c>
    </row>
    <row r="35" spans="1:84" x14ac:dyDescent="0.35">
      <c r="A35">
        <v>236</v>
      </c>
      <c r="B35" t="s">
        <v>242</v>
      </c>
      <c r="C35">
        <v>2</v>
      </c>
      <c r="D35" t="s">
        <v>89</v>
      </c>
      <c r="E35">
        <v>385575697</v>
      </c>
      <c r="F35" t="s">
        <v>243</v>
      </c>
      <c r="G35" t="s">
        <v>242</v>
      </c>
      <c r="H35" t="s">
        <v>244</v>
      </c>
      <c r="I35" t="s">
        <v>245</v>
      </c>
      <c r="J35" t="s">
        <v>93</v>
      </c>
      <c r="K35" t="s">
        <v>94</v>
      </c>
      <c r="L35" t="s">
        <v>94</v>
      </c>
      <c r="M35" t="s">
        <v>94</v>
      </c>
      <c r="N35" t="s">
        <v>93</v>
      </c>
      <c r="O35" t="s">
        <v>93</v>
      </c>
      <c r="Q35" t="s">
        <v>94</v>
      </c>
      <c r="R35" t="s">
        <v>246</v>
      </c>
      <c r="S35" t="s">
        <v>96</v>
      </c>
      <c r="U35" t="s">
        <v>94</v>
      </c>
      <c r="V35" t="s">
        <v>94</v>
      </c>
      <c r="W35" t="s">
        <v>93</v>
      </c>
      <c r="X35" t="s">
        <v>94</v>
      </c>
      <c r="Y35" t="s">
        <v>94</v>
      </c>
      <c r="Z35" t="s">
        <v>93</v>
      </c>
      <c r="AA35" t="s">
        <v>94</v>
      </c>
      <c r="AB35" t="s">
        <v>247</v>
      </c>
      <c r="AK35" t="s">
        <v>97</v>
      </c>
      <c r="AL35" t="s">
        <v>130</v>
      </c>
      <c r="AM35" t="s">
        <v>130</v>
      </c>
      <c r="AN35" t="s">
        <v>110</v>
      </c>
      <c r="AO35">
        <v>3</v>
      </c>
      <c r="AP35" t="s">
        <v>98</v>
      </c>
      <c r="AQ35" t="s">
        <v>98</v>
      </c>
      <c r="AR35">
        <v>2</v>
      </c>
      <c r="AS35">
        <v>2</v>
      </c>
      <c r="AT35">
        <v>3</v>
      </c>
      <c r="AU35">
        <v>3</v>
      </c>
      <c r="AV35" t="s">
        <v>98</v>
      </c>
      <c r="AW35" t="s">
        <v>98</v>
      </c>
      <c r="AX35">
        <v>4</v>
      </c>
      <c r="AY35" t="s">
        <v>98</v>
      </c>
      <c r="AZ35">
        <v>4</v>
      </c>
      <c r="BA35" t="s">
        <v>98</v>
      </c>
      <c r="BB35">
        <v>4</v>
      </c>
      <c r="BC35" t="s">
        <v>98</v>
      </c>
      <c r="BD35">
        <v>3</v>
      </c>
      <c r="BE35" t="s">
        <v>98</v>
      </c>
      <c r="BF35">
        <v>2</v>
      </c>
      <c r="BG35">
        <v>3</v>
      </c>
      <c r="BH35">
        <v>4</v>
      </c>
      <c r="BI35" t="s">
        <v>98</v>
      </c>
      <c r="BJ35">
        <v>4</v>
      </c>
      <c r="BK35" t="s">
        <v>99</v>
      </c>
      <c r="BL35">
        <v>4</v>
      </c>
      <c r="BM35" t="s">
        <v>99</v>
      </c>
      <c r="BN35">
        <v>3</v>
      </c>
      <c r="BO35" t="s">
        <v>99</v>
      </c>
      <c r="BP35" t="s">
        <v>99</v>
      </c>
      <c r="BQ35" t="s">
        <v>248</v>
      </c>
      <c r="BR35">
        <v>404.44</v>
      </c>
      <c r="BS35">
        <v>141.72999999999999</v>
      </c>
      <c r="CF35">
        <v>262.70999999999998</v>
      </c>
    </row>
    <row r="36" spans="1:84" x14ac:dyDescent="0.35">
      <c r="A36">
        <v>237</v>
      </c>
      <c r="C36">
        <v>0</v>
      </c>
      <c r="D36" t="s">
        <v>89</v>
      </c>
      <c r="E36">
        <v>1364629200</v>
      </c>
      <c r="F36" t="s">
        <v>249</v>
      </c>
      <c r="G36" t="s">
        <v>249</v>
      </c>
      <c r="J36" t="s">
        <v>115</v>
      </c>
      <c r="K36" t="s">
        <v>115</v>
      </c>
      <c r="L36" t="s">
        <v>115</v>
      </c>
      <c r="M36" t="s">
        <v>115</v>
      </c>
      <c r="N36" t="s">
        <v>115</v>
      </c>
      <c r="O36" t="s">
        <v>115</v>
      </c>
      <c r="Q36" t="s">
        <v>115</v>
      </c>
      <c r="U36" t="s">
        <v>115</v>
      </c>
      <c r="V36" t="s">
        <v>115</v>
      </c>
      <c r="W36" t="s">
        <v>115</v>
      </c>
      <c r="X36" t="s">
        <v>115</v>
      </c>
      <c r="Y36" t="s">
        <v>115</v>
      </c>
      <c r="Z36" t="s">
        <v>115</v>
      </c>
      <c r="AA36" t="s">
        <v>115</v>
      </c>
      <c r="BR36">
        <v>0</v>
      </c>
    </row>
    <row r="37" spans="1:84" x14ac:dyDescent="0.35">
      <c r="A37">
        <v>238</v>
      </c>
      <c r="B37" t="s">
        <v>250</v>
      </c>
      <c r="C37">
        <v>2</v>
      </c>
      <c r="D37" t="s">
        <v>89</v>
      </c>
      <c r="E37">
        <v>1651794708</v>
      </c>
      <c r="F37" t="s">
        <v>251</v>
      </c>
      <c r="G37" t="s">
        <v>250</v>
      </c>
      <c r="H37" t="s">
        <v>252</v>
      </c>
      <c r="I37" t="s">
        <v>253</v>
      </c>
      <c r="J37" t="s">
        <v>93</v>
      </c>
      <c r="K37" t="s">
        <v>94</v>
      </c>
      <c r="L37" t="s">
        <v>93</v>
      </c>
      <c r="M37" t="s">
        <v>94</v>
      </c>
      <c r="N37" t="s">
        <v>93</v>
      </c>
      <c r="O37" t="s">
        <v>94</v>
      </c>
      <c r="Q37" t="s">
        <v>93</v>
      </c>
      <c r="S37" t="s">
        <v>96</v>
      </c>
      <c r="T37" t="s">
        <v>105</v>
      </c>
      <c r="U37" t="s">
        <v>94</v>
      </c>
      <c r="V37" t="s">
        <v>94</v>
      </c>
      <c r="W37" t="s">
        <v>94</v>
      </c>
      <c r="X37" t="s">
        <v>94</v>
      </c>
      <c r="Y37" t="s">
        <v>93</v>
      </c>
      <c r="Z37" t="s">
        <v>93</v>
      </c>
      <c r="AA37" t="s">
        <v>93</v>
      </c>
      <c r="AC37" t="s">
        <v>107</v>
      </c>
      <c r="AD37" t="s">
        <v>107</v>
      </c>
      <c r="AE37" t="s">
        <v>106</v>
      </c>
      <c r="AF37">
        <v>4</v>
      </c>
      <c r="AG37">
        <v>4</v>
      </c>
      <c r="AH37">
        <v>4</v>
      </c>
      <c r="AI37" t="s">
        <v>108</v>
      </c>
      <c r="AK37" t="s">
        <v>109</v>
      </c>
      <c r="AL37">
        <v>4</v>
      </c>
      <c r="AM37">
        <v>4</v>
      </c>
      <c r="AN37" t="s">
        <v>110</v>
      </c>
      <c r="AO37" t="s">
        <v>110</v>
      </c>
      <c r="AP37">
        <v>3</v>
      </c>
      <c r="AQ37">
        <v>3</v>
      </c>
      <c r="AR37">
        <v>2</v>
      </c>
      <c r="AS37">
        <v>3</v>
      </c>
      <c r="AT37">
        <v>2</v>
      </c>
      <c r="AU37">
        <v>2</v>
      </c>
      <c r="AV37">
        <v>2</v>
      </c>
      <c r="AW37" t="s">
        <v>111</v>
      </c>
      <c r="AX37">
        <v>3</v>
      </c>
      <c r="AY37">
        <v>2</v>
      </c>
      <c r="AZ37">
        <v>3</v>
      </c>
      <c r="BA37">
        <v>2</v>
      </c>
      <c r="BB37">
        <v>3</v>
      </c>
      <c r="BC37">
        <v>2</v>
      </c>
      <c r="BD37">
        <v>3</v>
      </c>
      <c r="BE37">
        <v>2</v>
      </c>
      <c r="BF37">
        <v>3</v>
      </c>
      <c r="BG37">
        <v>2</v>
      </c>
      <c r="BH37">
        <v>3</v>
      </c>
      <c r="BI37">
        <v>2</v>
      </c>
      <c r="BJ37" t="s">
        <v>112</v>
      </c>
      <c r="BK37">
        <v>3</v>
      </c>
      <c r="BL37">
        <v>2</v>
      </c>
      <c r="BM37">
        <v>3</v>
      </c>
      <c r="BN37">
        <v>3</v>
      </c>
      <c r="BO37">
        <v>3</v>
      </c>
      <c r="BP37">
        <v>4</v>
      </c>
      <c r="BR37">
        <v>234.02</v>
      </c>
      <c r="BS37">
        <v>109.91</v>
      </c>
      <c r="CF37">
        <v>124.11</v>
      </c>
    </row>
    <row r="38" spans="1:84" x14ac:dyDescent="0.35">
      <c r="A38">
        <v>239</v>
      </c>
      <c r="C38">
        <v>0</v>
      </c>
      <c r="D38" t="s">
        <v>89</v>
      </c>
      <c r="E38">
        <v>1868501405</v>
      </c>
      <c r="F38" t="s">
        <v>254</v>
      </c>
      <c r="G38" t="s">
        <v>254</v>
      </c>
      <c r="J38" t="s">
        <v>115</v>
      </c>
      <c r="K38" t="s">
        <v>115</v>
      </c>
      <c r="L38" t="s">
        <v>115</v>
      </c>
      <c r="M38" t="s">
        <v>115</v>
      </c>
      <c r="N38" t="s">
        <v>115</v>
      </c>
      <c r="O38" t="s">
        <v>115</v>
      </c>
      <c r="Q38" t="s">
        <v>115</v>
      </c>
      <c r="U38" t="s">
        <v>115</v>
      </c>
      <c r="V38" t="s">
        <v>115</v>
      </c>
      <c r="W38" t="s">
        <v>115</v>
      </c>
      <c r="X38" t="s">
        <v>115</v>
      </c>
      <c r="Y38" t="s">
        <v>115</v>
      </c>
      <c r="Z38" t="s">
        <v>115</v>
      </c>
      <c r="AA38" t="s">
        <v>115</v>
      </c>
      <c r="BR38">
        <v>0</v>
      </c>
    </row>
    <row r="39" spans="1:84" x14ac:dyDescent="0.35">
      <c r="A39">
        <v>240</v>
      </c>
      <c r="B39" t="s">
        <v>255</v>
      </c>
      <c r="C39">
        <v>2</v>
      </c>
      <c r="D39" t="s">
        <v>89</v>
      </c>
      <c r="E39">
        <v>1776548191</v>
      </c>
      <c r="F39" t="s">
        <v>256</v>
      </c>
      <c r="G39" t="s">
        <v>255</v>
      </c>
      <c r="H39" t="s">
        <v>257</v>
      </c>
      <c r="I39" t="s">
        <v>258</v>
      </c>
      <c r="J39" t="s">
        <v>93</v>
      </c>
      <c r="K39" t="s">
        <v>94</v>
      </c>
      <c r="L39" t="s">
        <v>94</v>
      </c>
      <c r="M39" t="s">
        <v>94</v>
      </c>
      <c r="N39" t="s">
        <v>94</v>
      </c>
      <c r="O39" t="s">
        <v>94</v>
      </c>
      <c r="Q39" t="s">
        <v>93</v>
      </c>
      <c r="S39" t="s">
        <v>143</v>
      </c>
      <c r="T39" t="s">
        <v>94</v>
      </c>
      <c r="U39" t="s">
        <v>94</v>
      </c>
      <c r="V39" t="s">
        <v>94</v>
      </c>
      <c r="W39" t="s">
        <v>94</v>
      </c>
      <c r="X39" t="s">
        <v>94</v>
      </c>
      <c r="Y39" t="s">
        <v>94</v>
      </c>
      <c r="Z39" t="s">
        <v>94</v>
      </c>
      <c r="AA39" t="s">
        <v>94</v>
      </c>
      <c r="AB39" t="s">
        <v>259</v>
      </c>
      <c r="AC39" t="s">
        <v>128</v>
      </c>
      <c r="AD39" t="s">
        <v>128</v>
      </c>
      <c r="AE39" t="s">
        <v>128</v>
      </c>
      <c r="AF39" t="s">
        <v>108</v>
      </c>
      <c r="AG39" t="s">
        <v>108</v>
      </c>
      <c r="AH39">
        <v>2</v>
      </c>
      <c r="AI39" t="s">
        <v>108</v>
      </c>
      <c r="AJ39" t="s">
        <v>260</v>
      </c>
      <c r="AK39" t="s">
        <v>158</v>
      </c>
      <c r="AL39">
        <v>3</v>
      </c>
      <c r="AM39">
        <v>2</v>
      </c>
      <c r="AN39" t="s">
        <v>130</v>
      </c>
      <c r="AO39" t="s">
        <v>110</v>
      </c>
      <c r="AP39">
        <v>4</v>
      </c>
      <c r="AQ39">
        <v>2</v>
      </c>
      <c r="AR39">
        <v>3</v>
      </c>
      <c r="AS39">
        <v>3</v>
      </c>
      <c r="AT39">
        <v>2</v>
      </c>
      <c r="AU39" t="s">
        <v>111</v>
      </c>
      <c r="AV39">
        <v>4</v>
      </c>
      <c r="AW39">
        <v>4</v>
      </c>
      <c r="AX39">
        <v>3</v>
      </c>
      <c r="AY39">
        <v>4</v>
      </c>
      <c r="AZ39">
        <v>3</v>
      </c>
      <c r="BA39">
        <v>4</v>
      </c>
      <c r="BB39" t="s">
        <v>111</v>
      </c>
      <c r="BC39" t="s">
        <v>111</v>
      </c>
      <c r="BD39">
        <v>2</v>
      </c>
      <c r="BE39">
        <v>2</v>
      </c>
      <c r="BF39" t="s">
        <v>111</v>
      </c>
      <c r="BG39" t="s">
        <v>111</v>
      </c>
      <c r="BH39">
        <v>3</v>
      </c>
      <c r="BI39">
        <v>4</v>
      </c>
      <c r="BJ39" t="s">
        <v>112</v>
      </c>
      <c r="BK39" t="s">
        <v>112</v>
      </c>
      <c r="BL39" t="s">
        <v>112</v>
      </c>
      <c r="BM39" t="s">
        <v>112</v>
      </c>
      <c r="BN39" t="s">
        <v>112</v>
      </c>
      <c r="BO39" t="s">
        <v>112</v>
      </c>
      <c r="BP39" t="s">
        <v>112</v>
      </c>
      <c r="BQ39" t="s">
        <v>261</v>
      </c>
      <c r="BR39">
        <v>392.8</v>
      </c>
      <c r="BS39">
        <v>177.64</v>
      </c>
      <c r="CF39">
        <v>215.16</v>
      </c>
    </row>
    <row r="40" spans="1:84" x14ac:dyDescent="0.35">
      <c r="A40">
        <v>241</v>
      </c>
      <c r="B40" t="s">
        <v>262</v>
      </c>
      <c r="C40">
        <v>2</v>
      </c>
      <c r="D40" t="s">
        <v>89</v>
      </c>
      <c r="E40">
        <v>128736072</v>
      </c>
      <c r="F40" t="s">
        <v>263</v>
      </c>
      <c r="G40" t="s">
        <v>262</v>
      </c>
      <c r="H40" t="s">
        <v>264</v>
      </c>
      <c r="I40" t="s">
        <v>265</v>
      </c>
      <c r="J40" t="s">
        <v>93</v>
      </c>
      <c r="K40" t="s">
        <v>94</v>
      </c>
      <c r="L40" t="s">
        <v>94</v>
      </c>
      <c r="M40" t="s">
        <v>94</v>
      </c>
      <c r="N40" t="s">
        <v>94</v>
      </c>
      <c r="O40" t="s">
        <v>94</v>
      </c>
      <c r="Q40" t="s">
        <v>94</v>
      </c>
      <c r="R40" t="s">
        <v>266</v>
      </c>
      <c r="S40" t="s">
        <v>120</v>
      </c>
      <c r="U40" t="s">
        <v>94</v>
      </c>
      <c r="V40" t="s">
        <v>93</v>
      </c>
      <c r="W40" t="s">
        <v>93</v>
      </c>
      <c r="X40" t="s">
        <v>94</v>
      </c>
      <c r="Y40" t="s">
        <v>94</v>
      </c>
      <c r="Z40" t="s">
        <v>94</v>
      </c>
      <c r="AA40" t="s">
        <v>94</v>
      </c>
      <c r="AK40" t="s">
        <v>109</v>
      </c>
      <c r="AL40">
        <v>3</v>
      </c>
      <c r="AM40">
        <v>3</v>
      </c>
      <c r="AN40">
        <v>4</v>
      </c>
      <c r="AO40" t="s">
        <v>110</v>
      </c>
      <c r="AP40">
        <v>4</v>
      </c>
      <c r="AQ40">
        <v>4</v>
      </c>
      <c r="AR40">
        <v>4</v>
      </c>
      <c r="AS40">
        <v>3</v>
      </c>
      <c r="AT40">
        <v>3</v>
      </c>
      <c r="AU40">
        <v>3</v>
      </c>
      <c r="AV40">
        <v>4</v>
      </c>
      <c r="AW40">
        <v>4</v>
      </c>
      <c r="AX40">
        <v>4</v>
      </c>
      <c r="AY40">
        <v>4</v>
      </c>
      <c r="AZ40">
        <v>4</v>
      </c>
      <c r="BA40">
        <v>4</v>
      </c>
      <c r="BB40">
        <v>4</v>
      </c>
      <c r="BC40">
        <v>4</v>
      </c>
      <c r="BD40">
        <v>3</v>
      </c>
      <c r="BE40">
        <v>3</v>
      </c>
      <c r="BF40">
        <v>3</v>
      </c>
      <c r="BG40">
        <v>3</v>
      </c>
      <c r="BH40">
        <v>4</v>
      </c>
      <c r="BI40">
        <v>4</v>
      </c>
      <c r="BJ40">
        <v>3</v>
      </c>
      <c r="BK40">
        <v>3</v>
      </c>
      <c r="BL40">
        <v>3</v>
      </c>
      <c r="BM40">
        <v>3</v>
      </c>
      <c r="BN40">
        <v>3</v>
      </c>
      <c r="BO40">
        <v>3</v>
      </c>
      <c r="BP40">
        <v>3</v>
      </c>
      <c r="BR40">
        <v>148.46</v>
      </c>
      <c r="BS40">
        <v>43.66</v>
      </c>
      <c r="CF40">
        <v>104.8</v>
      </c>
    </row>
    <row r="41" spans="1:84" x14ac:dyDescent="0.35">
      <c r="A41">
        <v>242</v>
      </c>
      <c r="B41" t="s">
        <v>267</v>
      </c>
      <c r="C41">
        <v>2</v>
      </c>
      <c r="D41" t="s">
        <v>89</v>
      </c>
      <c r="E41">
        <v>1796249862</v>
      </c>
      <c r="F41" t="s">
        <v>268</v>
      </c>
      <c r="G41" t="s">
        <v>267</v>
      </c>
      <c r="H41" t="s">
        <v>269</v>
      </c>
      <c r="I41" t="s">
        <v>270</v>
      </c>
      <c r="J41" t="s">
        <v>93</v>
      </c>
      <c r="K41" t="s">
        <v>94</v>
      </c>
      <c r="L41" t="s">
        <v>94</v>
      </c>
      <c r="M41" t="s">
        <v>94</v>
      </c>
      <c r="N41" t="s">
        <v>93</v>
      </c>
      <c r="O41" t="s">
        <v>94</v>
      </c>
      <c r="Q41" t="s">
        <v>93</v>
      </c>
      <c r="S41" t="s">
        <v>143</v>
      </c>
      <c r="T41" t="s">
        <v>105</v>
      </c>
      <c r="U41" t="s">
        <v>94</v>
      </c>
      <c r="V41" t="s">
        <v>93</v>
      </c>
      <c r="W41" t="s">
        <v>94</v>
      </c>
      <c r="X41" t="s">
        <v>94</v>
      </c>
      <c r="Y41" t="s">
        <v>93</v>
      </c>
      <c r="Z41" t="s">
        <v>93</v>
      </c>
      <c r="AA41" t="s">
        <v>94</v>
      </c>
      <c r="AC41" t="s">
        <v>106</v>
      </c>
      <c r="AD41" t="s">
        <v>106</v>
      </c>
      <c r="AE41" t="s">
        <v>106</v>
      </c>
      <c r="AF41">
        <v>4</v>
      </c>
      <c r="AG41">
        <v>3</v>
      </c>
      <c r="AH41">
        <v>3</v>
      </c>
      <c r="AI41">
        <v>4</v>
      </c>
      <c r="AK41" t="s">
        <v>97</v>
      </c>
      <c r="AL41">
        <v>2</v>
      </c>
      <c r="AM41">
        <v>2</v>
      </c>
      <c r="AN41">
        <v>3</v>
      </c>
      <c r="AO41" t="s">
        <v>110</v>
      </c>
      <c r="AP41">
        <v>3</v>
      </c>
      <c r="AQ41">
        <v>4</v>
      </c>
      <c r="AR41">
        <v>3</v>
      </c>
      <c r="AS41">
        <v>3</v>
      </c>
      <c r="AT41">
        <v>2</v>
      </c>
      <c r="AU41">
        <v>2</v>
      </c>
      <c r="AV41">
        <v>2</v>
      </c>
      <c r="AW41" t="s">
        <v>111</v>
      </c>
      <c r="AX41">
        <v>4</v>
      </c>
      <c r="AY41">
        <v>4</v>
      </c>
      <c r="AZ41">
        <v>4</v>
      </c>
      <c r="BA41">
        <v>3</v>
      </c>
      <c r="BB41">
        <v>3</v>
      </c>
      <c r="BC41" t="s">
        <v>98</v>
      </c>
      <c r="BD41">
        <v>3</v>
      </c>
      <c r="BE41" t="s">
        <v>98</v>
      </c>
      <c r="BF41">
        <v>3</v>
      </c>
      <c r="BG41">
        <v>4</v>
      </c>
      <c r="BH41">
        <v>3</v>
      </c>
      <c r="BI41">
        <v>3</v>
      </c>
      <c r="BJ41">
        <v>3</v>
      </c>
      <c r="BK41">
        <v>4</v>
      </c>
      <c r="BL41">
        <v>4</v>
      </c>
      <c r="BM41" t="s">
        <v>99</v>
      </c>
      <c r="BN41" t="s">
        <v>99</v>
      </c>
      <c r="BO41">
        <v>4</v>
      </c>
      <c r="BP41" t="s">
        <v>99</v>
      </c>
      <c r="BR41">
        <v>243.45</v>
      </c>
      <c r="BS41">
        <v>103.43</v>
      </c>
      <c r="CF41">
        <v>140.02000000000001</v>
      </c>
    </row>
    <row r="42" spans="1:84" x14ac:dyDescent="0.35">
      <c r="A42">
        <v>243</v>
      </c>
      <c r="B42" t="s">
        <v>271</v>
      </c>
      <c r="C42">
        <v>2</v>
      </c>
      <c r="D42" t="s">
        <v>89</v>
      </c>
      <c r="E42">
        <v>946919099</v>
      </c>
      <c r="F42" t="s">
        <v>272</v>
      </c>
      <c r="G42" t="s">
        <v>271</v>
      </c>
      <c r="H42" t="s">
        <v>273</v>
      </c>
      <c r="I42" t="s">
        <v>274</v>
      </c>
      <c r="J42" t="s">
        <v>93</v>
      </c>
      <c r="K42" t="s">
        <v>94</v>
      </c>
      <c r="L42" t="s">
        <v>93</v>
      </c>
      <c r="M42" t="s">
        <v>94</v>
      </c>
      <c r="N42" t="s">
        <v>93</v>
      </c>
      <c r="O42" t="s">
        <v>93</v>
      </c>
      <c r="Q42" t="s">
        <v>93</v>
      </c>
      <c r="S42" t="s">
        <v>96</v>
      </c>
      <c r="T42" t="s">
        <v>105</v>
      </c>
      <c r="U42" t="s">
        <v>94</v>
      </c>
      <c r="V42" t="s">
        <v>93</v>
      </c>
      <c r="W42" t="s">
        <v>94</v>
      </c>
      <c r="X42" t="s">
        <v>93</v>
      </c>
      <c r="Y42" t="s">
        <v>93</v>
      </c>
      <c r="Z42" t="s">
        <v>94</v>
      </c>
      <c r="AA42" t="s">
        <v>94</v>
      </c>
      <c r="AC42" t="s">
        <v>107</v>
      </c>
      <c r="AD42" t="s">
        <v>106</v>
      </c>
      <c r="AE42" t="s">
        <v>106</v>
      </c>
      <c r="AF42">
        <v>3</v>
      </c>
      <c r="AG42">
        <v>4</v>
      </c>
      <c r="AH42">
        <v>4</v>
      </c>
      <c r="AI42">
        <v>4</v>
      </c>
      <c r="AK42" t="s">
        <v>97</v>
      </c>
      <c r="AL42">
        <v>2</v>
      </c>
      <c r="AM42">
        <v>3</v>
      </c>
      <c r="AN42" t="s">
        <v>110</v>
      </c>
      <c r="AO42" t="s">
        <v>110</v>
      </c>
      <c r="AP42">
        <v>3</v>
      </c>
      <c r="AQ42">
        <v>2</v>
      </c>
      <c r="AR42">
        <v>2</v>
      </c>
      <c r="AS42">
        <v>3</v>
      </c>
      <c r="AT42" t="s">
        <v>111</v>
      </c>
      <c r="AU42" t="s">
        <v>111</v>
      </c>
      <c r="AV42">
        <v>2</v>
      </c>
      <c r="AW42">
        <v>3</v>
      </c>
      <c r="AX42">
        <v>3</v>
      </c>
      <c r="AY42">
        <v>4</v>
      </c>
      <c r="AZ42">
        <v>3</v>
      </c>
      <c r="BA42">
        <v>3</v>
      </c>
      <c r="BB42">
        <v>4</v>
      </c>
      <c r="BC42" t="s">
        <v>98</v>
      </c>
      <c r="BD42" t="s">
        <v>111</v>
      </c>
      <c r="BE42">
        <v>2</v>
      </c>
      <c r="BF42">
        <v>2</v>
      </c>
      <c r="BG42">
        <v>3</v>
      </c>
      <c r="BH42">
        <v>3</v>
      </c>
      <c r="BI42" t="s">
        <v>98</v>
      </c>
      <c r="BJ42" t="s">
        <v>99</v>
      </c>
      <c r="BK42">
        <v>4</v>
      </c>
      <c r="BL42" t="s">
        <v>99</v>
      </c>
      <c r="BM42" t="s">
        <v>99</v>
      </c>
      <c r="BN42" t="s">
        <v>99</v>
      </c>
      <c r="BO42" t="s">
        <v>99</v>
      </c>
      <c r="BP42" t="s">
        <v>99</v>
      </c>
      <c r="BQ42" t="s">
        <v>275</v>
      </c>
      <c r="BR42">
        <v>1727.01</v>
      </c>
      <c r="BS42">
        <v>383.5</v>
      </c>
      <c r="CF42">
        <v>1343.51</v>
      </c>
    </row>
    <row r="43" spans="1:84" x14ac:dyDescent="0.35">
      <c r="A43">
        <v>244</v>
      </c>
      <c r="B43" t="s">
        <v>276</v>
      </c>
      <c r="C43">
        <v>2</v>
      </c>
      <c r="D43" t="s">
        <v>89</v>
      </c>
      <c r="E43">
        <v>1275844892</v>
      </c>
      <c r="F43" t="s">
        <v>277</v>
      </c>
      <c r="G43" t="s">
        <v>276</v>
      </c>
      <c r="H43" t="s">
        <v>278</v>
      </c>
      <c r="I43" t="s">
        <v>279</v>
      </c>
      <c r="J43" t="s">
        <v>93</v>
      </c>
      <c r="K43" t="s">
        <v>94</v>
      </c>
      <c r="L43" t="s">
        <v>94</v>
      </c>
      <c r="M43" t="s">
        <v>94</v>
      </c>
      <c r="N43" t="s">
        <v>94</v>
      </c>
      <c r="O43" t="s">
        <v>94</v>
      </c>
      <c r="Q43" t="s">
        <v>93</v>
      </c>
      <c r="S43" t="s">
        <v>120</v>
      </c>
      <c r="T43" t="s">
        <v>105</v>
      </c>
      <c r="U43" t="s">
        <v>93</v>
      </c>
      <c r="V43" t="s">
        <v>93</v>
      </c>
      <c r="W43" t="s">
        <v>94</v>
      </c>
      <c r="X43" t="s">
        <v>94</v>
      </c>
      <c r="Y43" t="s">
        <v>93</v>
      </c>
      <c r="Z43" t="s">
        <v>94</v>
      </c>
      <c r="AA43" t="s">
        <v>94</v>
      </c>
      <c r="AC43" t="s">
        <v>106</v>
      </c>
      <c r="AD43" t="s">
        <v>107</v>
      </c>
      <c r="AE43" t="s">
        <v>106</v>
      </c>
      <c r="AF43" t="s">
        <v>121</v>
      </c>
      <c r="AG43">
        <v>3</v>
      </c>
      <c r="AH43">
        <v>4</v>
      </c>
      <c r="AI43" t="s">
        <v>121</v>
      </c>
      <c r="AK43" t="s">
        <v>109</v>
      </c>
      <c r="AL43">
        <v>3</v>
      </c>
      <c r="AM43">
        <v>3</v>
      </c>
      <c r="AN43">
        <v>4</v>
      </c>
      <c r="AO43" t="s">
        <v>110</v>
      </c>
      <c r="AP43">
        <v>3</v>
      </c>
      <c r="AQ43">
        <v>4</v>
      </c>
      <c r="AR43">
        <v>3</v>
      </c>
      <c r="AS43">
        <v>3</v>
      </c>
      <c r="AT43">
        <v>4</v>
      </c>
      <c r="AU43" t="s">
        <v>111</v>
      </c>
      <c r="AV43" t="s">
        <v>111</v>
      </c>
      <c r="AW43">
        <v>2</v>
      </c>
      <c r="AX43">
        <v>3</v>
      </c>
      <c r="AY43">
        <v>4</v>
      </c>
      <c r="AZ43">
        <v>4</v>
      </c>
      <c r="BA43">
        <v>4</v>
      </c>
      <c r="BB43">
        <v>3</v>
      </c>
      <c r="BC43">
        <v>4</v>
      </c>
      <c r="BD43">
        <v>2</v>
      </c>
      <c r="BE43">
        <v>4</v>
      </c>
      <c r="BF43">
        <v>3</v>
      </c>
      <c r="BG43">
        <v>4</v>
      </c>
      <c r="BH43">
        <v>3</v>
      </c>
      <c r="BI43">
        <v>4</v>
      </c>
      <c r="BJ43">
        <v>4</v>
      </c>
      <c r="BK43">
        <v>3</v>
      </c>
      <c r="BL43">
        <v>4</v>
      </c>
      <c r="BM43" t="s">
        <v>99</v>
      </c>
      <c r="BN43">
        <v>3</v>
      </c>
      <c r="BO43">
        <v>4</v>
      </c>
      <c r="BP43">
        <v>2</v>
      </c>
      <c r="BR43">
        <v>751.06</v>
      </c>
      <c r="BS43">
        <v>305.54000000000002</v>
      </c>
      <c r="CF43">
        <v>445.52</v>
      </c>
    </row>
    <row r="44" spans="1:84" x14ac:dyDescent="0.35">
      <c r="A44">
        <v>245</v>
      </c>
      <c r="B44" t="s">
        <v>280</v>
      </c>
      <c r="C44">
        <v>2</v>
      </c>
      <c r="D44" t="s">
        <v>89</v>
      </c>
      <c r="E44">
        <v>559674793</v>
      </c>
      <c r="F44" t="s">
        <v>281</v>
      </c>
      <c r="G44" t="s">
        <v>280</v>
      </c>
      <c r="H44" t="s">
        <v>282</v>
      </c>
      <c r="I44" t="s">
        <v>283</v>
      </c>
      <c r="J44" t="s">
        <v>93</v>
      </c>
      <c r="K44" t="s">
        <v>94</v>
      </c>
      <c r="L44" t="s">
        <v>94</v>
      </c>
      <c r="M44" t="s">
        <v>94</v>
      </c>
      <c r="N44" t="s">
        <v>94</v>
      </c>
      <c r="O44" t="s">
        <v>93</v>
      </c>
      <c r="Q44" t="s">
        <v>93</v>
      </c>
      <c r="S44" t="s">
        <v>96</v>
      </c>
      <c r="T44" t="s">
        <v>93</v>
      </c>
      <c r="U44" t="s">
        <v>94</v>
      </c>
      <c r="V44" t="s">
        <v>93</v>
      </c>
      <c r="W44" t="s">
        <v>94</v>
      </c>
      <c r="X44" t="s">
        <v>94</v>
      </c>
      <c r="Y44" t="s">
        <v>93</v>
      </c>
      <c r="Z44" t="s">
        <v>94</v>
      </c>
      <c r="AA44" t="s">
        <v>94</v>
      </c>
      <c r="AC44" t="s">
        <v>106</v>
      </c>
      <c r="AD44" t="s">
        <v>106</v>
      </c>
      <c r="AE44" t="s">
        <v>106</v>
      </c>
      <c r="AF44" t="s">
        <v>121</v>
      </c>
      <c r="AG44">
        <v>4</v>
      </c>
      <c r="AH44">
        <v>4</v>
      </c>
      <c r="AI44">
        <v>4</v>
      </c>
      <c r="AK44" t="s">
        <v>97</v>
      </c>
      <c r="AL44">
        <v>3</v>
      </c>
      <c r="AM44">
        <v>3</v>
      </c>
      <c r="AN44">
        <v>4</v>
      </c>
      <c r="AO44" t="s">
        <v>110</v>
      </c>
      <c r="AP44">
        <v>4</v>
      </c>
      <c r="AQ44">
        <v>3</v>
      </c>
      <c r="AR44">
        <v>3</v>
      </c>
      <c r="AS44">
        <v>3</v>
      </c>
      <c r="AT44">
        <v>2</v>
      </c>
      <c r="AU44">
        <v>2</v>
      </c>
      <c r="AV44">
        <v>2</v>
      </c>
      <c r="AW44" t="s">
        <v>111</v>
      </c>
      <c r="AX44">
        <v>4</v>
      </c>
      <c r="AY44">
        <v>4</v>
      </c>
      <c r="AZ44">
        <v>4</v>
      </c>
      <c r="BA44">
        <v>4</v>
      </c>
      <c r="BB44">
        <v>4</v>
      </c>
      <c r="BC44" t="s">
        <v>98</v>
      </c>
      <c r="BD44">
        <v>3</v>
      </c>
      <c r="BE44">
        <v>3</v>
      </c>
      <c r="BF44">
        <v>3</v>
      </c>
      <c r="BG44">
        <v>3</v>
      </c>
      <c r="BH44">
        <v>3</v>
      </c>
      <c r="BI44">
        <v>3</v>
      </c>
      <c r="BJ44">
        <v>3</v>
      </c>
      <c r="BK44">
        <v>4</v>
      </c>
      <c r="BL44">
        <v>4</v>
      </c>
      <c r="BM44" t="s">
        <v>99</v>
      </c>
      <c r="BN44">
        <v>4</v>
      </c>
      <c r="BO44">
        <v>3</v>
      </c>
      <c r="BP44">
        <v>4</v>
      </c>
      <c r="BR44">
        <v>372.54</v>
      </c>
      <c r="BS44">
        <v>166.74</v>
      </c>
      <c r="CF44">
        <v>205.8</v>
      </c>
    </row>
    <row r="45" spans="1:84" x14ac:dyDescent="0.35">
      <c r="A45">
        <v>246</v>
      </c>
      <c r="B45" t="s">
        <v>284</v>
      </c>
      <c r="C45">
        <v>2</v>
      </c>
      <c r="D45" t="s">
        <v>89</v>
      </c>
      <c r="E45">
        <v>1089759499</v>
      </c>
      <c r="F45" t="s">
        <v>285</v>
      </c>
      <c r="G45" t="s">
        <v>284</v>
      </c>
      <c r="H45" t="s">
        <v>286</v>
      </c>
      <c r="I45" t="s">
        <v>287</v>
      </c>
      <c r="J45" t="s">
        <v>93</v>
      </c>
      <c r="K45" t="s">
        <v>94</v>
      </c>
      <c r="L45" t="s">
        <v>94</v>
      </c>
      <c r="M45" t="s">
        <v>94</v>
      </c>
      <c r="N45" t="s">
        <v>94</v>
      </c>
      <c r="O45" t="s">
        <v>93</v>
      </c>
      <c r="Q45" t="s">
        <v>93</v>
      </c>
      <c r="S45" t="s">
        <v>120</v>
      </c>
      <c r="T45" t="s">
        <v>105</v>
      </c>
      <c r="U45" t="s">
        <v>94</v>
      </c>
      <c r="V45" t="s">
        <v>93</v>
      </c>
      <c r="W45" t="s">
        <v>94</v>
      </c>
      <c r="X45" t="s">
        <v>93</v>
      </c>
      <c r="Y45" t="s">
        <v>93</v>
      </c>
      <c r="Z45" t="s">
        <v>94</v>
      </c>
      <c r="AA45" t="s">
        <v>94</v>
      </c>
      <c r="AC45" t="s">
        <v>107</v>
      </c>
      <c r="AD45" t="s">
        <v>106</v>
      </c>
      <c r="AE45" t="s">
        <v>106</v>
      </c>
      <c r="AF45">
        <v>3</v>
      </c>
      <c r="AG45" t="s">
        <v>108</v>
      </c>
      <c r="AH45">
        <v>3</v>
      </c>
      <c r="AI45">
        <v>3</v>
      </c>
      <c r="AK45" t="s">
        <v>97</v>
      </c>
      <c r="AL45" t="s">
        <v>130</v>
      </c>
      <c r="AM45">
        <v>4</v>
      </c>
      <c r="AN45">
        <v>4</v>
      </c>
      <c r="AO45" t="s">
        <v>110</v>
      </c>
      <c r="AP45">
        <v>4</v>
      </c>
      <c r="AQ45">
        <v>2</v>
      </c>
      <c r="AR45">
        <v>4</v>
      </c>
      <c r="AS45">
        <v>2</v>
      </c>
      <c r="AT45">
        <v>2</v>
      </c>
      <c r="AU45" t="s">
        <v>111</v>
      </c>
      <c r="AV45">
        <v>2</v>
      </c>
      <c r="AW45" t="s">
        <v>111</v>
      </c>
      <c r="AX45">
        <v>4</v>
      </c>
      <c r="AY45">
        <v>4</v>
      </c>
      <c r="AZ45">
        <v>3</v>
      </c>
      <c r="BA45">
        <v>2</v>
      </c>
      <c r="BB45">
        <v>4</v>
      </c>
      <c r="BC45">
        <v>4</v>
      </c>
      <c r="BD45">
        <v>3</v>
      </c>
      <c r="BE45">
        <v>3</v>
      </c>
      <c r="BF45">
        <v>3</v>
      </c>
      <c r="BG45">
        <v>4</v>
      </c>
      <c r="BH45">
        <v>2</v>
      </c>
      <c r="BI45">
        <v>3</v>
      </c>
      <c r="BJ45" t="s">
        <v>99</v>
      </c>
      <c r="BK45" t="s">
        <v>99</v>
      </c>
      <c r="BL45" t="s">
        <v>99</v>
      </c>
      <c r="BM45" t="s">
        <v>99</v>
      </c>
      <c r="BN45" t="s">
        <v>99</v>
      </c>
      <c r="BO45" t="s">
        <v>99</v>
      </c>
      <c r="BP45" t="s">
        <v>99</v>
      </c>
      <c r="BR45">
        <v>201.15</v>
      </c>
      <c r="BS45">
        <v>100.43</v>
      </c>
      <c r="CF45">
        <v>100.72</v>
      </c>
    </row>
    <row r="46" spans="1:84" x14ac:dyDescent="0.35">
      <c r="A46">
        <v>247</v>
      </c>
      <c r="B46" t="s">
        <v>288</v>
      </c>
      <c r="C46">
        <v>2</v>
      </c>
      <c r="D46" t="s">
        <v>89</v>
      </c>
      <c r="E46">
        <v>336023622</v>
      </c>
      <c r="F46" t="s">
        <v>289</v>
      </c>
      <c r="G46" t="s">
        <v>288</v>
      </c>
      <c r="H46" t="s">
        <v>290</v>
      </c>
      <c r="I46" t="s">
        <v>291</v>
      </c>
      <c r="J46" t="s">
        <v>93</v>
      </c>
      <c r="K46" t="s">
        <v>94</v>
      </c>
      <c r="L46" t="s">
        <v>94</v>
      </c>
      <c r="M46" t="s">
        <v>94</v>
      </c>
      <c r="N46" t="s">
        <v>94</v>
      </c>
      <c r="O46" t="s">
        <v>94</v>
      </c>
      <c r="Q46" t="s">
        <v>93</v>
      </c>
      <c r="S46" t="s">
        <v>96</v>
      </c>
      <c r="T46" t="s">
        <v>105</v>
      </c>
      <c r="U46" t="s">
        <v>94</v>
      </c>
      <c r="V46" t="s">
        <v>93</v>
      </c>
      <c r="W46" t="s">
        <v>94</v>
      </c>
      <c r="X46" t="s">
        <v>93</v>
      </c>
      <c r="Y46" t="s">
        <v>94</v>
      </c>
      <c r="Z46" t="s">
        <v>94</v>
      </c>
      <c r="AA46" t="s">
        <v>94</v>
      </c>
      <c r="AB46" t="s">
        <v>292</v>
      </c>
      <c r="AC46" t="s">
        <v>107</v>
      </c>
      <c r="AD46" t="s">
        <v>108</v>
      </c>
      <c r="AE46" t="s">
        <v>106</v>
      </c>
      <c r="AF46">
        <v>3</v>
      </c>
      <c r="AG46" t="s">
        <v>121</v>
      </c>
      <c r="AH46" t="s">
        <v>121</v>
      </c>
      <c r="AI46">
        <v>4</v>
      </c>
      <c r="AK46" t="s">
        <v>97</v>
      </c>
      <c r="AL46">
        <v>2</v>
      </c>
      <c r="AM46">
        <v>3</v>
      </c>
      <c r="AN46">
        <v>4</v>
      </c>
      <c r="AO46" t="s">
        <v>110</v>
      </c>
      <c r="AP46">
        <v>4</v>
      </c>
      <c r="AQ46">
        <v>4</v>
      </c>
      <c r="AR46">
        <v>2</v>
      </c>
      <c r="AS46">
        <v>2</v>
      </c>
      <c r="AT46">
        <v>3</v>
      </c>
      <c r="AU46">
        <v>4</v>
      </c>
      <c r="AV46">
        <v>2</v>
      </c>
      <c r="AW46">
        <v>3</v>
      </c>
      <c r="AX46">
        <v>3</v>
      </c>
      <c r="AY46">
        <v>2</v>
      </c>
      <c r="AZ46">
        <v>3</v>
      </c>
      <c r="BA46">
        <v>4</v>
      </c>
      <c r="BB46">
        <v>3</v>
      </c>
      <c r="BC46">
        <v>4</v>
      </c>
      <c r="BD46">
        <v>3</v>
      </c>
      <c r="BE46">
        <v>3</v>
      </c>
      <c r="BF46">
        <v>2</v>
      </c>
      <c r="BG46">
        <v>3</v>
      </c>
      <c r="BH46">
        <v>3</v>
      </c>
      <c r="BI46">
        <v>3</v>
      </c>
      <c r="BJ46">
        <v>3</v>
      </c>
      <c r="BK46">
        <v>3</v>
      </c>
      <c r="BL46">
        <v>3</v>
      </c>
      <c r="BM46">
        <v>4</v>
      </c>
      <c r="BN46">
        <v>3</v>
      </c>
      <c r="BO46">
        <v>4</v>
      </c>
      <c r="BP46">
        <v>4</v>
      </c>
      <c r="BR46">
        <v>320.69</v>
      </c>
      <c r="BS46">
        <v>110.23</v>
      </c>
      <c r="CF46">
        <v>210.46</v>
      </c>
    </row>
    <row r="47" spans="1:84" x14ac:dyDescent="0.35">
      <c r="A47">
        <v>248</v>
      </c>
      <c r="B47" t="s">
        <v>293</v>
      </c>
      <c r="C47">
        <v>2</v>
      </c>
      <c r="D47" t="s">
        <v>89</v>
      </c>
      <c r="E47">
        <v>1010224540</v>
      </c>
      <c r="F47" t="s">
        <v>294</v>
      </c>
      <c r="G47" t="s">
        <v>293</v>
      </c>
      <c r="H47" t="s">
        <v>295</v>
      </c>
      <c r="I47" t="s">
        <v>296</v>
      </c>
      <c r="J47" t="s">
        <v>93</v>
      </c>
      <c r="K47" t="s">
        <v>93</v>
      </c>
      <c r="L47" t="s">
        <v>94</v>
      </c>
      <c r="M47" t="s">
        <v>94</v>
      </c>
      <c r="N47" t="s">
        <v>94</v>
      </c>
      <c r="O47" t="s">
        <v>94</v>
      </c>
      <c r="Q47" t="s">
        <v>93</v>
      </c>
      <c r="S47" t="s">
        <v>96</v>
      </c>
      <c r="T47" t="s">
        <v>105</v>
      </c>
      <c r="U47" t="s">
        <v>93</v>
      </c>
      <c r="V47" t="s">
        <v>94</v>
      </c>
      <c r="W47" t="s">
        <v>93</v>
      </c>
      <c r="X47" t="s">
        <v>94</v>
      </c>
      <c r="Y47" t="s">
        <v>94</v>
      </c>
      <c r="Z47" t="s">
        <v>94</v>
      </c>
      <c r="AA47" t="s">
        <v>94</v>
      </c>
      <c r="AC47" t="s">
        <v>106</v>
      </c>
      <c r="AD47" t="s">
        <v>106</v>
      </c>
      <c r="AE47" t="s">
        <v>107</v>
      </c>
      <c r="AF47">
        <v>3</v>
      </c>
      <c r="AG47">
        <v>4</v>
      </c>
      <c r="AH47">
        <v>4</v>
      </c>
      <c r="AI47">
        <v>3</v>
      </c>
      <c r="AK47" t="s">
        <v>158</v>
      </c>
      <c r="AL47" t="s">
        <v>130</v>
      </c>
      <c r="AM47">
        <v>3</v>
      </c>
      <c r="AN47">
        <v>4</v>
      </c>
      <c r="AO47" t="s">
        <v>110</v>
      </c>
      <c r="AP47">
        <v>4</v>
      </c>
      <c r="AQ47">
        <v>4</v>
      </c>
      <c r="AR47">
        <v>3</v>
      </c>
      <c r="AS47">
        <v>3</v>
      </c>
      <c r="AT47">
        <v>3</v>
      </c>
      <c r="AU47">
        <v>3</v>
      </c>
      <c r="AV47" t="s">
        <v>98</v>
      </c>
      <c r="AW47" t="s">
        <v>98</v>
      </c>
      <c r="AX47">
        <v>3</v>
      </c>
      <c r="AY47">
        <v>3</v>
      </c>
      <c r="AZ47">
        <v>3</v>
      </c>
      <c r="BA47" t="s">
        <v>98</v>
      </c>
      <c r="BB47">
        <v>3</v>
      </c>
      <c r="BC47">
        <v>3</v>
      </c>
      <c r="BD47">
        <v>3</v>
      </c>
      <c r="BE47">
        <v>3</v>
      </c>
      <c r="BF47">
        <v>4</v>
      </c>
      <c r="BG47" t="s">
        <v>98</v>
      </c>
      <c r="BH47">
        <v>4</v>
      </c>
      <c r="BI47" t="s">
        <v>98</v>
      </c>
      <c r="BJ47">
        <v>3</v>
      </c>
      <c r="BK47">
        <v>4</v>
      </c>
      <c r="BL47">
        <v>2</v>
      </c>
      <c r="BM47" t="s">
        <v>99</v>
      </c>
      <c r="BN47">
        <v>3</v>
      </c>
      <c r="BO47">
        <v>4</v>
      </c>
      <c r="BP47">
        <v>4</v>
      </c>
      <c r="BR47">
        <v>196.67</v>
      </c>
      <c r="BS47">
        <v>90.57</v>
      </c>
      <c r="CF47">
        <v>106.1</v>
      </c>
    </row>
    <row r="48" spans="1:84" x14ac:dyDescent="0.35">
      <c r="A48">
        <v>249</v>
      </c>
      <c r="B48" t="s">
        <v>297</v>
      </c>
      <c r="C48">
        <v>2</v>
      </c>
      <c r="D48" t="s">
        <v>89</v>
      </c>
      <c r="E48">
        <v>368664173</v>
      </c>
      <c r="F48" t="s">
        <v>298</v>
      </c>
      <c r="G48" t="s">
        <v>297</v>
      </c>
      <c r="H48" t="s">
        <v>299</v>
      </c>
      <c r="I48" t="s">
        <v>300</v>
      </c>
      <c r="J48" t="s">
        <v>93</v>
      </c>
      <c r="K48" t="s">
        <v>93</v>
      </c>
      <c r="L48" t="s">
        <v>94</v>
      </c>
      <c r="M48" t="s">
        <v>93</v>
      </c>
      <c r="N48" t="s">
        <v>93</v>
      </c>
      <c r="O48" t="s">
        <v>93</v>
      </c>
      <c r="Q48" t="s">
        <v>93</v>
      </c>
      <c r="S48" t="s">
        <v>96</v>
      </c>
      <c r="T48" t="s">
        <v>105</v>
      </c>
      <c r="U48" t="s">
        <v>93</v>
      </c>
      <c r="V48" t="s">
        <v>93</v>
      </c>
      <c r="W48" t="s">
        <v>94</v>
      </c>
      <c r="X48" t="s">
        <v>93</v>
      </c>
      <c r="Y48" t="s">
        <v>94</v>
      </c>
      <c r="Z48" t="s">
        <v>93</v>
      </c>
      <c r="AA48" t="s">
        <v>94</v>
      </c>
      <c r="AC48" t="s">
        <v>106</v>
      </c>
      <c r="AD48" t="s">
        <v>106</v>
      </c>
      <c r="AE48" t="s">
        <v>107</v>
      </c>
      <c r="AF48" t="s">
        <v>121</v>
      </c>
      <c r="AG48" t="s">
        <v>108</v>
      </c>
      <c r="AH48" t="s">
        <v>121</v>
      </c>
      <c r="AI48" t="s">
        <v>121</v>
      </c>
      <c r="AK48" t="s">
        <v>158</v>
      </c>
      <c r="AL48">
        <v>4</v>
      </c>
      <c r="AM48">
        <v>3</v>
      </c>
      <c r="AN48">
        <v>4</v>
      </c>
      <c r="AO48">
        <v>2</v>
      </c>
      <c r="AP48" t="s">
        <v>98</v>
      </c>
      <c r="AQ48" t="s">
        <v>98</v>
      </c>
      <c r="AR48">
        <v>4</v>
      </c>
      <c r="AS48">
        <v>3</v>
      </c>
      <c r="AT48">
        <v>4</v>
      </c>
      <c r="AU48">
        <v>4</v>
      </c>
      <c r="AV48" t="s">
        <v>98</v>
      </c>
      <c r="AW48" t="s">
        <v>98</v>
      </c>
      <c r="AX48">
        <v>4</v>
      </c>
      <c r="AY48">
        <v>4</v>
      </c>
      <c r="AZ48" t="s">
        <v>98</v>
      </c>
      <c r="BA48" t="s">
        <v>98</v>
      </c>
      <c r="BB48">
        <v>3</v>
      </c>
      <c r="BC48">
        <v>2</v>
      </c>
      <c r="BD48">
        <v>3</v>
      </c>
      <c r="BE48">
        <v>3</v>
      </c>
      <c r="BF48">
        <v>4</v>
      </c>
      <c r="BG48">
        <v>4</v>
      </c>
      <c r="BH48">
        <v>4</v>
      </c>
      <c r="BI48" t="s">
        <v>98</v>
      </c>
      <c r="BJ48" t="s">
        <v>99</v>
      </c>
      <c r="BK48" t="s">
        <v>99</v>
      </c>
      <c r="BL48" t="s">
        <v>99</v>
      </c>
      <c r="BM48" t="s">
        <v>99</v>
      </c>
      <c r="BN48">
        <v>4</v>
      </c>
      <c r="BO48" t="s">
        <v>99</v>
      </c>
      <c r="BP48">
        <v>4</v>
      </c>
      <c r="BR48">
        <v>167.11</v>
      </c>
      <c r="BS48">
        <v>67.959999999999994</v>
      </c>
      <c r="CF48">
        <v>99.15</v>
      </c>
    </row>
    <row r="49" spans="1:84" x14ac:dyDescent="0.35">
      <c r="A49">
        <v>250</v>
      </c>
      <c r="C49">
        <v>0</v>
      </c>
      <c r="D49" t="s">
        <v>89</v>
      </c>
      <c r="E49">
        <v>2056578883</v>
      </c>
      <c r="F49" t="s">
        <v>301</v>
      </c>
      <c r="G49" t="s">
        <v>301</v>
      </c>
      <c r="J49" t="s">
        <v>115</v>
      </c>
      <c r="K49" t="s">
        <v>115</v>
      </c>
      <c r="L49" t="s">
        <v>115</v>
      </c>
      <c r="M49" t="s">
        <v>115</v>
      </c>
      <c r="N49" t="s">
        <v>115</v>
      </c>
      <c r="O49" t="s">
        <v>115</v>
      </c>
      <c r="Q49" t="s">
        <v>115</v>
      </c>
      <c r="U49" t="s">
        <v>115</v>
      </c>
      <c r="V49" t="s">
        <v>115</v>
      </c>
      <c r="W49" t="s">
        <v>115</v>
      </c>
      <c r="X49" t="s">
        <v>115</v>
      </c>
      <c r="Y49" t="s">
        <v>115</v>
      </c>
      <c r="Z49" t="s">
        <v>115</v>
      </c>
      <c r="AA49" t="s">
        <v>115</v>
      </c>
      <c r="BR49">
        <v>0</v>
      </c>
    </row>
    <row r="50" spans="1:84" x14ac:dyDescent="0.35">
      <c r="A50">
        <v>251</v>
      </c>
      <c r="B50" t="s">
        <v>302</v>
      </c>
      <c r="C50">
        <v>2</v>
      </c>
      <c r="D50" t="s">
        <v>89</v>
      </c>
      <c r="E50">
        <v>318079655</v>
      </c>
      <c r="F50" t="s">
        <v>303</v>
      </c>
      <c r="G50" t="s">
        <v>302</v>
      </c>
      <c r="H50" t="s">
        <v>304</v>
      </c>
      <c r="I50" t="s">
        <v>305</v>
      </c>
      <c r="J50" t="s">
        <v>93</v>
      </c>
      <c r="K50" t="s">
        <v>94</v>
      </c>
      <c r="L50" t="s">
        <v>94</v>
      </c>
      <c r="M50" t="s">
        <v>94</v>
      </c>
      <c r="N50" t="s">
        <v>93</v>
      </c>
      <c r="O50" t="s">
        <v>93</v>
      </c>
      <c r="Q50" t="s">
        <v>93</v>
      </c>
      <c r="S50" t="s">
        <v>96</v>
      </c>
      <c r="T50" t="s">
        <v>105</v>
      </c>
      <c r="U50" t="s">
        <v>94</v>
      </c>
      <c r="V50" t="s">
        <v>93</v>
      </c>
      <c r="W50" t="s">
        <v>94</v>
      </c>
      <c r="X50" t="s">
        <v>94</v>
      </c>
      <c r="Y50" t="s">
        <v>93</v>
      </c>
      <c r="Z50" t="s">
        <v>93</v>
      </c>
      <c r="AA50" t="s">
        <v>94</v>
      </c>
      <c r="AC50" t="s">
        <v>106</v>
      </c>
      <c r="AD50" t="s">
        <v>106</v>
      </c>
      <c r="AE50" t="s">
        <v>106</v>
      </c>
      <c r="AF50" t="s">
        <v>121</v>
      </c>
      <c r="AG50" t="s">
        <v>121</v>
      </c>
      <c r="AH50" t="s">
        <v>121</v>
      </c>
      <c r="AI50" t="s">
        <v>108</v>
      </c>
      <c r="AK50" t="s">
        <v>97</v>
      </c>
      <c r="AL50">
        <v>2</v>
      </c>
      <c r="AM50">
        <v>3</v>
      </c>
      <c r="AN50">
        <v>4</v>
      </c>
      <c r="AO50" t="s">
        <v>110</v>
      </c>
      <c r="AP50">
        <v>4</v>
      </c>
      <c r="AQ50" t="s">
        <v>98</v>
      </c>
      <c r="AR50">
        <v>4</v>
      </c>
      <c r="AS50">
        <v>4</v>
      </c>
      <c r="AT50" t="s">
        <v>111</v>
      </c>
      <c r="AU50" t="s">
        <v>111</v>
      </c>
      <c r="AV50" t="s">
        <v>111</v>
      </c>
      <c r="AW50" t="s">
        <v>111</v>
      </c>
      <c r="AX50">
        <v>4</v>
      </c>
      <c r="AY50" t="s">
        <v>98</v>
      </c>
      <c r="AZ50">
        <v>4</v>
      </c>
      <c r="BA50" t="s">
        <v>98</v>
      </c>
      <c r="BB50">
        <v>4</v>
      </c>
      <c r="BC50" t="s">
        <v>98</v>
      </c>
      <c r="BD50">
        <v>4</v>
      </c>
      <c r="BE50" t="s">
        <v>98</v>
      </c>
      <c r="BF50">
        <v>3</v>
      </c>
      <c r="BG50" t="s">
        <v>98</v>
      </c>
      <c r="BH50">
        <v>3</v>
      </c>
      <c r="BI50">
        <v>4</v>
      </c>
      <c r="BJ50" t="s">
        <v>99</v>
      </c>
      <c r="BK50" t="s">
        <v>99</v>
      </c>
      <c r="BL50" t="s">
        <v>99</v>
      </c>
      <c r="BM50" t="s">
        <v>99</v>
      </c>
      <c r="BN50" t="s">
        <v>99</v>
      </c>
      <c r="BO50" t="s">
        <v>99</v>
      </c>
      <c r="BP50" t="s">
        <v>99</v>
      </c>
      <c r="BQ50" t="s">
        <v>306</v>
      </c>
      <c r="BR50">
        <v>1770.23</v>
      </c>
      <c r="BS50">
        <v>197.73</v>
      </c>
      <c r="CF50">
        <v>1572.5</v>
      </c>
    </row>
    <row r="51" spans="1:84" x14ac:dyDescent="0.35">
      <c r="A51">
        <v>252</v>
      </c>
      <c r="B51" t="s">
        <v>307</v>
      </c>
      <c r="C51">
        <v>2</v>
      </c>
      <c r="D51" t="s">
        <v>89</v>
      </c>
      <c r="E51">
        <v>2055506679</v>
      </c>
      <c r="F51" t="s">
        <v>308</v>
      </c>
      <c r="G51" t="s">
        <v>307</v>
      </c>
      <c r="H51" t="s">
        <v>309</v>
      </c>
      <c r="I51" t="s">
        <v>310</v>
      </c>
      <c r="J51" t="s">
        <v>93</v>
      </c>
      <c r="K51" t="s">
        <v>94</v>
      </c>
      <c r="L51" t="s">
        <v>94</v>
      </c>
      <c r="M51" t="s">
        <v>94</v>
      </c>
      <c r="N51" t="s">
        <v>94</v>
      </c>
      <c r="O51" t="s">
        <v>94</v>
      </c>
      <c r="Q51" t="s">
        <v>93</v>
      </c>
      <c r="S51" t="s">
        <v>120</v>
      </c>
      <c r="T51" t="s">
        <v>105</v>
      </c>
      <c r="U51" t="s">
        <v>93</v>
      </c>
      <c r="V51" t="s">
        <v>93</v>
      </c>
      <c r="W51" t="s">
        <v>94</v>
      </c>
      <c r="X51" t="s">
        <v>94</v>
      </c>
      <c r="Y51" t="s">
        <v>94</v>
      </c>
      <c r="Z51" t="s">
        <v>93</v>
      </c>
      <c r="AA51" t="s">
        <v>94</v>
      </c>
      <c r="AC51" t="s">
        <v>106</v>
      </c>
      <c r="AD51" t="s">
        <v>106</v>
      </c>
      <c r="AE51" t="s">
        <v>108</v>
      </c>
      <c r="AF51">
        <v>3</v>
      </c>
      <c r="AG51" t="s">
        <v>108</v>
      </c>
      <c r="AH51" t="s">
        <v>108</v>
      </c>
      <c r="AI51" t="s">
        <v>108</v>
      </c>
      <c r="AK51" t="s">
        <v>97</v>
      </c>
      <c r="AL51">
        <v>2</v>
      </c>
      <c r="AM51">
        <v>3</v>
      </c>
      <c r="AN51">
        <v>3</v>
      </c>
      <c r="AO51">
        <v>3</v>
      </c>
      <c r="AP51">
        <v>4</v>
      </c>
      <c r="AQ51">
        <v>3</v>
      </c>
      <c r="AR51">
        <v>3</v>
      </c>
      <c r="AS51">
        <v>4</v>
      </c>
      <c r="AT51">
        <v>3</v>
      </c>
      <c r="AU51">
        <v>2</v>
      </c>
      <c r="AV51">
        <v>3</v>
      </c>
      <c r="AW51">
        <v>3</v>
      </c>
      <c r="AX51">
        <v>4</v>
      </c>
      <c r="AY51">
        <v>4</v>
      </c>
      <c r="AZ51">
        <v>2</v>
      </c>
      <c r="BA51">
        <v>3</v>
      </c>
      <c r="BB51" t="s">
        <v>98</v>
      </c>
      <c r="BC51">
        <v>4</v>
      </c>
      <c r="BD51">
        <v>4</v>
      </c>
      <c r="BE51">
        <v>4</v>
      </c>
      <c r="BF51">
        <v>2</v>
      </c>
      <c r="BG51">
        <v>2</v>
      </c>
      <c r="BH51">
        <v>3</v>
      </c>
      <c r="BI51">
        <v>4</v>
      </c>
      <c r="BJ51">
        <v>4</v>
      </c>
      <c r="BK51">
        <v>4</v>
      </c>
      <c r="BL51">
        <v>3</v>
      </c>
      <c r="BM51" t="s">
        <v>99</v>
      </c>
      <c r="BN51">
        <v>3</v>
      </c>
      <c r="BO51" t="s">
        <v>99</v>
      </c>
      <c r="BP51" t="s">
        <v>99</v>
      </c>
      <c r="BR51">
        <v>238.33</v>
      </c>
      <c r="BS51">
        <v>99.13</v>
      </c>
      <c r="CF51">
        <v>139.19999999999999</v>
      </c>
    </row>
    <row r="52" spans="1:84" x14ac:dyDescent="0.35">
      <c r="A52">
        <v>253</v>
      </c>
      <c r="B52" t="s">
        <v>311</v>
      </c>
      <c r="C52">
        <v>2</v>
      </c>
      <c r="D52" t="s">
        <v>89</v>
      </c>
      <c r="E52">
        <v>914420950</v>
      </c>
      <c r="F52" t="s">
        <v>312</v>
      </c>
      <c r="G52" t="s">
        <v>311</v>
      </c>
      <c r="H52" t="s">
        <v>313</v>
      </c>
      <c r="I52" t="s">
        <v>314</v>
      </c>
      <c r="J52" t="s">
        <v>93</v>
      </c>
      <c r="K52" t="s">
        <v>94</v>
      </c>
      <c r="L52" t="s">
        <v>94</v>
      </c>
      <c r="M52" t="s">
        <v>94</v>
      </c>
      <c r="N52" t="s">
        <v>94</v>
      </c>
      <c r="O52" t="s">
        <v>94</v>
      </c>
      <c r="Q52" t="s">
        <v>94</v>
      </c>
      <c r="R52" t="s">
        <v>315</v>
      </c>
      <c r="S52" t="s">
        <v>96</v>
      </c>
      <c r="U52" t="s">
        <v>94</v>
      </c>
      <c r="V52" t="s">
        <v>94</v>
      </c>
      <c r="W52" t="s">
        <v>94</v>
      </c>
      <c r="X52" t="s">
        <v>94</v>
      </c>
      <c r="Y52" t="s">
        <v>93</v>
      </c>
      <c r="Z52" t="s">
        <v>94</v>
      </c>
      <c r="AA52" t="s">
        <v>94</v>
      </c>
      <c r="AK52" t="s">
        <v>158</v>
      </c>
      <c r="AL52">
        <v>2</v>
      </c>
      <c r="AM52">
        <v>3</v>
      </c>
      <c r="AN52">
        <v>4</v>
      </c>
      <c r="AO52">
        <v>3</v>
      </c>
      <c r="AP52">
        <v>4</v>
      </c>
      <c r="AQ52">
        <v>4</v>
      </c>
      <c r="AR52">
        <v>2</v>
      </c>
      <c r="AS52">
        <v>2</v>
      </c>
      <c r="AT52" t="s">
        <v>111</v>
      </c>
      <c r="AU52" t="s">
        <v>111</v>
      </c>
      <c r="AV52">
        <v>3</v>
      </c>
      <c r="AW52" t="s">
        <v>98</v>
      </c>
      <c r="AX52">
        <v>4</v>
      </c>
      <c r="AY52" t="s">
        <v>111</v>
      </c>
      <c r="AZ52">
        <v>4</v>
      </c>
      <c r="BA52" t="s">
        <v>98</v>
      </c>
      <c r="BB52">
        <v>3</v>
      </c>
      <c r="BC52" t="s">
        <v>111</v>
      </c>
      <c r="BD52">
        <v>4</v>
      </c>
      <c r="BE52">
        <v>3</v>
      </c>
      <c r="BF52" t="s">
        <v>111</v>
      </c>
      <c r="BG52" t="s">
        <v>111</v>
      </c>
      <c r="BH52">
        <v>2</v>
      </c>
      <c r="BI52" t="s">
        <v>111</v>
      </c>
      <c r="BJ52">
        <v>4</v>
      </c>
      <c r="BK52">
        <v>4</v>
      </c>
      <c r="BL52" t="s">
        <v>99</v>
      </c>
      <c r="BM52" t="s">
        <v>112</v>
      </c>
      <c r="BN52" t="s">
        <v>112</v>
      </c>
      <c r="BO52">
        <v>4</v>
      </c>
      <c r="BP52" t="s">
        <v>112</v>
      </c>
      <c r="BR52">
        <v>238.59</v>
      </c>
      <c r="BS52">
        <v>69.430000000000007</v>
      </c>
      <c r="CF52">
        <v>169.16</v>
      </c>
    </row>
    <row r="53" spans="1:84" x14ac:dyDescent="0.35">
      <c r="A53">
        <v>254</v>
      </c>
      <c r="B53" t="s">
        <v>316</v>
      </c>
      <c r="C53">
        <v>2</v>
      </c>
      <c r="D53" t="s">
        <v>89</v>
      </c>
      <c r="E53">
        <v>2054349237</v>
      </c>
      <c r="F53" t="s">
        <v>317</v>
      </c>
      <c r="G53" t="s">
        <v>316</v>
      </c>
      <c r="H53" t="s">
        <v>318</v>
      </c>
      <c r="I53" t="s">
        <v>319</v>
      </c>
      <c r="J53" t="s">
        <v>93</v>
      </c>
      <c r="K53" t="s">
        <v>94</v>
      </c>
      <c r="L53" t="s">
        <v>94</v>
      </c>
      <c r="M53" t="s">
        <v>94</v>
      </c>
      <c r="N53" t="s">
        <v>94</v>
      </c>
      <c r="O53" t="s">
        <v>94</v>
      </c>
      <c r="Q53" t="s">
        <v>93</v>
      </c>
      <c r="S53" t="s">
        <v>96</v>
      </c>
      <c r="T53" t="s">
        <v>93</v>
      </c>
      <c r="U53" t="s">
        <v>94</v>
      </c>
      <c r="V53" t="s">
        <v>93</v>
      </c>
      <c r="W53" t="s">
        <v>93</v>
      </c>
      <c r="X53" t="s">
        <v>94</v>
      </c>
      <c r="Y53" t="s">
        <v>93</v>
      </c>
      <c r="Z53" t="s">
        <v>94</v>
      </c>
      <c r="AA53" t="s">
        <v>94</v>
      </c>
      <c r="AC53" t="s">
        <v>106</v>
      </c>
      <c r="AD53" t="s">
        <v>106</v>
      </c>
      <c r="AE53" t="s">
        <v>107</v>
      </c>
      <c r="AF53" t="s">
        <v>108</v>
      </c>
      <c r="AG53" t="s">
        <v>108</v>
      </c>
      <c r="AH53" t="s">
        <v>121</v>
      </c>
      <c r="AI53">
        <v>3</v>
      </c>
      <c r="AK53" t="s">
        <v>158</v>
      </c>
      <c r="AL53">
        <v>3</v>
      </c>
      <c r="AM53">
        <v>4</v>
      </c>
      <c r="AN53">
        <v>4</v>
      </c>
      <c r="AO53" t="s">
        <v>110</v>
      </c>
      <c r="AP53">
        <v>4</v>
      </c>
      <c r="AQ53">
        <v>3</v>
      </c>
      <c r="AR53">
        <v>2</v>
      </c>
      <c r="AS53" t="s">
        <v>111</v>
      </c>
      <c r="AT53">
        <v>2</v>
      </c>
      <c r="AU53" t="s">
        <v>111</v>
      </c>
      <c r="AV53">
        <v>3</v>
      </c>
      <c r="AW53">
        <v>3</v>
      </c>
      <c r="AX53" t="s">
        <v>98</v>
      </c>
      <c r="AY53" t="s">
        <v>98</v>
      </c>
      <c r="AZ53">
        <v>3</v>
      </c>
      <c r="BA53">
        <v>3</v>
      </c>
      <c r="BB53">
        <v>3</v>
      </c>
      <c r="BC53">
        <v>2</v>
      </c>
      <c r="BD53">
        <v>4</v>
      </c>
      <c r="BE53">
        <v>3</v>
      </c>
      <c r="BF53" t="s">
        <v>98</v>
      </c>
      <c r="BG53" t="s">
        <v>98</v>
      </c>
      <c r="BH53">
        <v>3</v>
      </c>
      <c r="BI53">
        <v>4</v>
      </c>
      <c r="BJ53">
        <v>4</v>
      </c>
      <c r="BK53">
        <v>3</v>
      </c>
      <c r="BL53">
        <v>2</v>
      </c>
      <c r="BM53">
        <v>3</v>
      </c>
      <c r="BN53">
        <v>2</v>
      </c>
      <c r="BO53">
        <v>3</v>
      </c>
      <c r="BP53">
        <v>2</v>
      </c>
      <c r="BR53">
        <v>340.57</v>
      </c>
      <c r="BS53">
        <v>170.74</v>
      </c>
      <c r="CF53">
        <v>169.83</v>
      </c>
    </row>
    <row r="54" spans="1:84" x14ac:dyDescent="0.35">
      <c r="A54">
        <v>255</v>
      </c>
      <c r="B54" t="s">
        <v>320</v>
      </c>
      <c r="C54">
        <v>2</v>
      </c>
      <c r="D54" t="s">
        <v>89</v>
      </c>
      <c r="E54">
        <v>231443410</v>
      </c>
      <c r="F54" t="s">
        <v>321</v>
      </c>
      <c r="G54" t="s">
        <v>320</v>
      </c>
      <c r="H54" t="s">
        <v>322</v>
      </c>
      <c r="I54" t="s">
        <v>323</v>
      </c>
      <c r="J54" t="s">
        <v>93</v>
      </c>
      <c r="K54" t="s">
        <v>94</v>
      </c>
      <c r="L54" t="s">
        <v>94</v>
      </c>
      <c r="M54" t="s">
        <v>94</v>
      </c>
      <c r="N54" t="s">
        <v>94</v>
      </c>
      <c r="O54" t="s">
        <v>94</v>
      </c>
      <c r="Q54" t="s">
        <v>93</v>
      </c>
      <c r="S54" t="s">
        <v>96</v>
      </c>
      <c r="T54" t="s">
        <v>93</v>
      </c>
      <c r="U54" t="s">
        <v>94</v>
      </c>
      <c r="V54" t="s">
        <v>93</v>
      </c>
      <c r="W54" t="s">
        <v>93</v>
      </c>
      <c r="X54" t="s">
        <v>94</v>
      </c>
      <c r="Y54" t="s">
        <v>93</v>
      </c>
      <c r="Z54" t="s">
        <v>94</v>
      </c>
      <c r="AA54" t="s">
        <v>94</v>
      </c>
      <c r="AC54" t="s">
        <v>106</v>
      </c>
      <c r="AD54" t="s">
        <v>107</v>
      </c>
      <c r="AE54" t="s">
        <v>106</v>
      </c>
      <c r="AF54" t="s">
        <v>121</v>
      </c>
      <c r="AG54" t="s">
        <v>121</v>
      </c>
      <c r="AH54" t="s">
        <v>121</v>
      </c>
      <c r="AI54" t="s">
        <v>121</v>
      </c>
      <c r="AK54" t="s">
        <v>109</v>
      </c>
      <c r="AL54">
        <v>3</v>
      </c>
      <c r="AM54">
        <v>4</v>
      </c>
      <c r="AN54">
        <v>4</v>
      </c>
      <c r="AO54" t="s">
        <v>110</v>
      </c>
      <c r="AP54">
        <v>4</v>
      </c>
      <c r="AQ54">
        <v>4</v>
      </c>
      <c r="AR54">
        <v>4</v>
      </c>
      <c r="AS54">
        <v>4</v>
      </c>
      <c r="AT54">
        <v>3</v>
      </c>
      <c r="AU54">
        <v>2</v>
      </c>
      <c r="AV54">
        <v>3</v>
      </c>
      <c r="AW54">
        <v>4</v>
      </c>
      <c r="AX54">
        <v>4</v>
      </c>
      <c r="AY54">
        <v>4</v>
      </c>
      <c r="AZ54">
        <v>4</v>
      </c>
      <c r="BA54" t="s">
        <v>98</v>
      </c>
      <c r="BB54">
        <v>3</v>
      </c>
      <c r="BC54">
        <v>3</v>
      </c>
      <c r="BD54">
        <v>3</v>
      </c>
      <c r="BE54">
        <v>3</v>
      </c>
      <c r="BF54">
        <v>3</v>
      </c>
      <c r="BG54">
        <v>3</v>
      </c>
      <c r="BH54">
        <v>4</v>
      </c>
      <c r="BI54">
        <v>4</v>
      </c>
      <c r="BJ54">
        <v>4</v>
      </c>
      <c r="BK54">
        <v>4</v>
      </c>
      <c r="BL54">
        <v>4</v>
      </c>
      <c r="BM54">
        <v>4</v>
      </c>
      <c r="BN54">
        <v>4</v>
      </c>
      <c r="BO54">
        <v>4</v>
      </c>
      <c r="BP54" t="s">
        <v>99</v>
      </c>
      <c r="BR54">
        <v>295.14999999999998</v>
      </c>
      <c r="BS54">
        <v>176.2</v>
      </c>
      <c r="CF54">
        <v>118.95</v>
      </c>
    </row>
    <row r="55" spans="1:84" x14ac:dyDescent="0.35">
      <c r="A55">
        <v>256</v>
      </c>
      <c r="B55" t="s">
        <v>324</v>
      </c>
      <c r="C55">
        <v>2</v>
      </c>
      <c r="D55" t="s">
        <v>89</v>
      </c>
      <c r="E55">
        <v>230979335</v>
      </c>
      <c r="F55" t="s">
        <v>325</v>
      </c>
      <c r="G55" t="s">
        <v>324</v>
      </c>
      <c r="H55" t="s">
        <v>326</v>
      </c>
      <c r="I55" t="s">
        <v>327</v>
      </c>
      <c r="J55" t="s">
        <v>93</v>
      </c>
      <c r="K55" t="s">
        <v>94</v>
      </c>
      <c r="L55" t="s">
        <v>93</v>
      </c>
      <c r="M55" t="s">
        <v>94</v>
      </c>
      <c r="N55" t="s">
        <v>94</v>
      </c>
      <c r="O55" t="s">
        <v>94</v>
      </c>
      <c r="Q55" t="s">
        <v>93</v>
      </c>
      <c r="S55" t="s">
        <v>96</v>
      </c>
      <c r="T55" t="s">
        <v>105</v>
      </c>
      <c r="U55" t="s">
        <v>94</v>
      </c>
      <c r="V55" t="s">
        <v>93</v>
      </c>
      <c r="W55" t="s">
        <v>94</v>
      </c>
      <c r="X55" t="s">
        <v>94</v>
      </c>
      <c r="Y55" t="s">
        <v>93</v>
      </c>
      <c r="Z55" t="s">
        <v>93</v>
      </c>
      <c r="AA55" t="s">
        <v>93</v>
      </c>
      <c r="AC55" t="s">
        <v>107</v>
      </c>
      <c r="AD55" t="s">
        <v>128</v>
      </c>
      <c r="AE55" t="s">
        <v>106</v>
      </c>
      <c r="AF55" t="s">
        <v>121</v>
      </c>
      <c r="AG55">
        <v>4</v>
      </c>
      <c r="AH55" t="s">
        <v>121</v>
      </c>
      <c r="AI55" t="s">
        <v>121</v>
      </c>
      <c r="AK55" t="s">
        <v>97</v>
      </c>
      <c r="AL55" t="s">
        <v>130</v>
      </c>
      <c r="AM55">
        <v>2</v>
      </c>
      <c r="AN55" t="s">
        <v>110</v>
      </c>
      <c r="AO55" t="s">
        <v>110</v>
      </c>
      <c r="AP55" t="s">
        <v>98</v>
      </c>
      <c r="AQ55" t="s">
        <v>98</v>
      </c>
      <c r="AR55">
        <v>2</v>
      </c>
      <c r="AS55">
        <v>2</v>
      </c>
      <c r="AT55">
        <v>2</v>
      </c>
      <c r="AU55" t="s">
        <v>111</v>
      </c>
      <c r="AV55" t="s">
        <v>111</v>
      </c>
      <c r="AW55" t="s">
        <v>111</v>
      </c>
      <c r="AX55">
        <v>4</v>
      </c>
      <c r="AY55" t="s">
        <v>98</v>
      </c>
      <c r="AZ55">
        <v>4</v>
      </c>
      <c r="BA55">
        <v>4</v>
      </c>
      <c r="BB55">
        <v>3</v>
      </c>
      <c r="BC55">
        <v>3</v>
      </c>
      <c r="BD55" t="s">
        <v>111</v>
      </c>
      <c r="BE55" t="s">
        <v>111</v>
      </c>
      <c r="BF55" t="s">
        <v>111</v>
      </c>
      <c r="BG55" t="s">
        <v>111</v>
      </c>
      <c r="BH55" t="s">
        <v>111</v>
      </c>
      <c r="BI55">
        <v>3</v>
      </c>
      <c r="BJ55" t="s">
        <v>99</v>
      </c>
      <c r="BK55" t="s">
        <v>99</v>
      </c>
      <c r="BL55" t="s">
        <v>99</v>
      </c>
      <c r="BM55" t="s">
        <v>99</v>
      </c>
      <c r="BN55" t="s">
        <v>99</v>
      </c>
      <c r="BO55" t="s">
        <v>99</v>
      </c>
      <c r="BP55" t="s">
        <v>99</v>
      </c>
      <c r="BR55">
        <v>211.41</v>
      </c>
      <c r="BS55">
        <v>100.35</v>
      </c>
      <c r="CF55">
        <v>111.06</v>
      </c>
    </row>
    <row r="56" spans="1:84" x14ac:dyDescent="0.35">
      <c r="A56">
        <v>257</v>
      </c>
      <c r="B56" t="s">
        <v>328</v>
      </c>
      <c r="C56">
        <v>2</v>
      </c>
      <c r="D56" t="s">
        <v>89</v>
      </c>
      <c r="E56">
        <v>761129565</v>
      </c>
      <c r="F56" t="s">
        <v>329</v>
      </c>
      <c r="G56" t="s">
        <v>328</v>
      </c>
      <c r="H56" t="s">
        <v>330</v>
      </c>
      <c r="I56" t="s">
        <v>331</v>
      </c>
      <c r="J56" t="s">
        <v>93</v>
      </c>
      <c r="K56" t="s">
        <v>94</v>
      </c>
      <c r="L56" t="s">
        <v>94</v>
      </c>
      <c r="M56" t="s">
        <v>94</v>
      </c>
      <c r="N56" t="s">
        <v>94</v>
      </c>
      <c r="O56" t="s">
        <v>94</v>
      </c>
      <c r="Q56" t="s">
        <v>93</v>
      </c>
      <c r="S56" t="s">
        <v>96</v>
      </c>
      <c r="T56" t="s">
        <v>93</v>
      </c>
      <c r="U56" t="s">
        <v>94</v>
      </c>
      <c r="V56" t="s">
        <v>93</v>
      </c>
      <c r="W56" t="s">
        <v>94</v>
      </c>
      <c r="X56" t="s">
        <v>94</v>
      </c>
      <c r="Y56" t="s">
        <v>94</v>
      </c>
      <c r="Z56" t="s">
        <v>94</v>
      </c>
      <c r="AA56" t="s">
        <v>94</v>
      </c>
      <c r="AC56" t="s">
        <v>107</v>
      </c>
      <c r="AD56" t="s">
        <v>108</v>
      </c>
      <c r="AE56" t="s">
        <v>107</v>
      </c>
      <c r="AF56" t="s">
        <v>121</v>
      </c>
      <c r="AG56" t="s">
        <v>121</v>
      </c>
      <c r="AH56" t="s">
        <v>121</v>
      </c>
      <c r="AI56" t="s">
        <v>121</v>
      </c>
      <c r="AK56" t="s">
        <v>97</v>
      </c>
      <c r="AL56">
        <v>2</v>
      </c>
      <c r="AM56">
        <v>3</v>
      </c>
      <c r="AN56" t="s">
        <v>110</v>
      </c>
      <c r="AO56" t="s">
        <v>110</v>
      </c>
      <c r="AP56" t="s">
        <v>98</v>
      </c>
      <c r="AQ56" t="s">
        <v>98</v>
      </c>
      <c r="AR56">
        <v>4</v>
      </c>
      <c r="AS56">
        <v>3</v>
      </c>
      <c r="AT56">
        <v>2</v>
      </c>
      <c r="AU56" t="s">
        <v>111</v>
      </c>
      <c r="AV56">
        <v>2</v>
      </c>
      <c r="AW56" t="s">
        <v>111</v>
      </c>
      <c r="AX56">
        <v>3</v>
      </c>
      <c r="AY56" t="s">
        <v>111</v>
      </c>
      <c r="AZ56">
        <v>4</v>
      </c>
      <c r="BA56">
        <v>4</v>
      </c>
      <c r="BB56">
        <v>4</v>
      </c>
      <c r="BC56" t="s">
        <v>98</v>
      </c>
      <c r="BD56">
        <v>3</v>
      </c>
      <c r="BE56">
        <v>2</v>
      </c>
      <c r="BF56">
        <v>3</v>
      </c>
      <c r="BG56">
        <v>2</v>
      </c>
      <c r="BH56">
        <v>3</v>
      </c>
      <c r="BI56">
        <v>3</v>
      </c>
      <c r="BJ56">
        <v>4</v>
      </c>
      <c r="BK56">
        <v>4</v>
      </c>
      <c r="BL56">
        <v>4</v>
      </c>
      <c r="BM56">
        <v>4</v>
      </c>
      <c r="BN56">
        <v>4</v>
      </c>
      <c r="BO56">
        <v>4</v>
      </c>
      <c r="BP56">
        <v>4</v>
      </c>
      <c r="BR56">
        <v>196.38</v>
      </c>
      <c r="BS56">
        <v>93.98</v>
      </c>
      <c r="CF56">
        <v>102.4</v>
      </c>
    </row>
    <row r="57" spans="1:84" x14ac:dyDescent="0.35">
      <c r="A57">
        <v>258</v>
      </c>
      <c r="B57" t="s">
        <v>332</v>
      </c>
      <c r="C57">
        <v>2</v>
      </c>
      <c r="D57" t="s">
        <v>89</v>
      </c>
      <c r="E57">
        <v>384565263</v>
      </c>
      <c r="F57" t="s">
        <v>333</v>
      </c>
      <c r="G57" t="s">
        <v>332</v>
      </c>
      <c r="H57" t="s">
        <v>334</v>
      </c>
      <c r="I57" t="s">
        <v>335</v>
      </c>
      <c r="J57" t="s">
        <v>93</v>
      </c>
      <c r="K57" t="s">
        <v>93</v>
      </c>
      <c r="L57" t="s">
        <v>94</v>
      </c>
      <c r="M57" t="s">
        <v>94</v>
      </c>
      <c r="N57" t="s">
        <v>94</v>
      </c>
      <c r="O57" t="s">
        <v>93</v>
      </c>
      <c r="Q57" t="s">
        <v>94</v>
      </c>
      <c r="R57" t="s">
        <v>336</v>
      </c>
      <c r="S57" t="s">
        <v>104</v>
      </c>
      <c r="U57" t="s">
        <v>94</v>
      </c>
      <c r="V57" t="s">
        <v>93</v>
      </c>
      <c r="W57" t="s">
        <v>94</v>
      </c>
      <c r="X57" t="s">
        <v>93</v>
      </c>
      <c r="Y57" t="s">
        <v>93</v>
      </c>
      <c r="Z57" t="s">
        <v>93</v>
      </c>
      <c r="AA57" t="s">
        <v>93</v>
      </c>
      <c r="AK57" t="s">
        <v>109</v>
      </c>
      <c r="AL57" t="s">
        <v>130</v>
      </c>
      <c r="AM57">
        <v>2</v>
      </c>
      <c r="AN57" t="s">
        <v>130</v>
      </c>
      <c r="AO57" t="s">
        <v>110</v>
      </c>
      <c r="AP57">
        <v>3</v>
      </c>
      <c r="AQ57">
        <v>3</v>
      </c>
      <c r="AR57">
        <v>3</v>
      </c>
      <c r="AS57">
        <v>2</v>
      </c>
      <c r="AT57">
        <v>3</v>
      </c>
      <c r="AU57">
        <v>2</v>
      </c>
      <c r="AV57" t="s">
        <v>98</v>
      </c>
      <c r="AW57" t="s">
        <v>98</v>
      </c>
      <c r="AX57">
        <v>4</v>
      </c>
      <c r="AY57">
        <v>4</v>
      </c>
      <c r="AZ57">
        <v>3</v>
      </c>
      <c r="BA57" t="s">
        <v>98</v>
      </c>
      <c r="BB57" t="s">
        <v>98</v>
      </c>
      <c r="BC57" t="s">
        <v>98</v>
      </c>
      <c r="BD57">
        <v>4</v>
      </c>
      <c r="BE57" t="s">
        <v>98</v>
      </c>
      <c r="BF57" t="s">
        <v>98</v>
      </c>
      <c r="BG57" t="s">
        <v>98</v>
      </c>
      <c r="BH57">
        <v>4</v>
      </c>
      <c r="BI57" t="s">
        <v>98</v>
      </c>
      <c r="BJ57" t="s">
        <v>99</v>
      </c>
      <c r="BK57" t="s">
        <v>99</v>
      </c>
      <c r="BL57">
        <v>3</v>
      </c>
      <c r="BM57">
        <v>4</v>
      </c>
      <c r="BN57" t="s">
        <v>112</v>
      </c>
      <c r="BO57" t="s">
        <v>99</v>
      </c>
      <c r="BP57">
        <v>4</v>
      </c>
      <c r="BQ57" t="s">
        <v>337</v>
      </c>
      <c r="BR57">
        <v>482.48</v>
      </c>
      <c r="BS57">
        <v>94.21</v>
      </c>
      <c r="CF57">
        <v>388.27</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8EA84-7F58-48E5-BEEF-F178E8145BA0}">
  <dimension ref="A1:CH52"/>
  <sheetViews>
    <sheetView tabSelected="1" zoomScaleNormal="100" workbookViewId="0">
      <selection activeCell="G18" sqref="G18"/>
    </sheetView>
  </sheetViews>
  <sheetFormatPr baseColWidth="10" defaultRowHeight="12.75" x14ac:dyDescent="0.35"/>
  <cols>
    <col min="2" max="2" width="17.59765625" bestFit="1" customWidth="1"/>
    <col min="6" max="6" width="17.59765625" bestFit="1" customWidth="1"/>
    <col min="7" max="7" width="21.53125" bestFit="1" customWidth="1"/>
    <col min="15" max="15" width="43.86328125" bestFit="1" customWidth="1"/>
    <col min="16" max="16" width="20.73046875" customWidth="1"/>
    <col min="17" max="17" width="55.1328125" bestFit="1" customWidth="1"/>
    <col min="18" max="18" width="69.3984375" bestFit="1" customWidth="1"/>
    <col min="35" max="35" width="39.3984375" bestFit="1" customWidth="1"/>
  </cols>
  <sheetData>
    <row r="1" spans="1:86" x14ac:dyDescent="0.35">
      <c r="A1" t="s">
        <v>0</v>
      </c>
      <c r="B1" t="s">
        <v>1</v>
      </c>
      <c r="C1" t="s">
        <v>2</v>
      </c>
      <c r="D1" t="s">
        <v>3</v>
      </c>
      <c r="E1" t="s">
        <v>4</v>
      </c>
      <c r="F1" t="s">
        <v>5</v>
      </c>
      <c r="G1" t="s">
        <v>6</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42</v>
      </c>
      <c r="AP1" t="s">
        <v>43</v>
      </c>
      <c r="AQ1" t="s">
        <v>44</v>
      </c>
      <c r="AR1" t="s">
        <v>45</v>
      </c>
      <c r="AS1" t="s">
        <v>46</v>
      </c>
      <c r="AT1" t="s">
        <v>47</v>
      </c>
      <c r="AU1" t="s">
        <v>48</v>
      </c>
      <c r="AV1" t="s">
        <v>49</v>
      </c>
      <c r="AW1" t="s">
        <v>50</v>
      </c>
      <c r="AX1" t="s">
        <v>51</v>
      </c>
      <c r="AY1" t="s">
        <v>52</v>
      </c>
      <c r="AZ1" t="s">
        <v>53</v>
      </c>
      <c r="BA1" t="s">
        <v>54</v>
      </c>
      <c r="BB1" t="s">
        <v>55</v>
      </c>
      <c r="BC1" t="s">
        <v>56</v>
      </c>
      <c r="BD1" t="s">
        <v>57</v>
      </c>
      <c r="BE1" t="s">
        <v>58</v>
      </c>
      <c r="BF1" t="s">
        <v>59</v>
      </c>
      <c r="BG1" t="s">
        <v>60</v>
      </c>
      <c r="BH1" t="s">
        <v>61</v>
      </c>
      <c r="BI1" t="s">
        <v>62</v>
      </c>
      <c r="BJ1" t="s">
        <v>63</v>
      </c>
      <c r="BK1" t="s">
        <v>64</v>
      </c>
      <c r="BL1" t="s">
        <v>65</v>
      </c>
      <c r="BM1" t="s">
        <v>66</v>
      </c>
      <c r="BN1" t="s">
        <v>67</v>
      </c>
      <c r="BO1" t="s">
        <v>68</v>
      </c>
      <c r="BP1" t="s">
        <v>69</v>
      </c>
      <c r="BQ1" t="s">
        <v>70</v>
      </c>
      <c r="BR1" t="s">
        <v>71</v>
      </c>
      <c r="BS1" t="s">
        <v>72</v>
      </c>
      <c r="BT1" t="s">
        <v>73</v>
      </c>
      <c r="BU1" t="s">
        <v>74</v>
      </c>
      <c r="BV1" t="s">
        <v>75</v>
      </c>
      <c r="BW1" t="s">
        <v>76</v>
      </c>
      <c r="BX1" t="s">
        <v>77</v>
      </c>
      <c r="BY1" t="s">
        <v>78</v>
      </c>
      <c r="BZ1" t="s">
        <v>79</v>
      </c>
      <c r="CA1" t="s">
        <v>80</v>
      </c>
      <c r="CB1" t="s">
        <v>81</v>
      </c>
      <c r="CC1" t="s">
        <v>82</v>
      </c>
      <c r="CD1" t="s">
        <v>83</v>
      </c>
      <c r="CE1" t="s">
        <v>84</v>
      </c>
      <c r="CF1" t="s">
        <v>85</v>
      </c>
      <c r="CG1" t="s">
        <v>86</v>
      </c>
      <c r="CH1" t="s">
        <v>87</v>
      </c>
    </row>
    <row r="2" spans="1:86" x14ac:dyDescent="0.35">
      <c r="A2">
        <v>203</v>
      </c>
      <c r="B2" t="s">
        <v>88</v>
      </c>
      <c r="C2">
        <v>2</v>
      </c>
      <c r="D2" t="s">
        <v>89</v>
      </c>
      <c r="E2">
        <v>1053537938</v>
      </c>
      <c r="F2" t="s">
        <v>90</v>
      </c>
      <c r="G2" t="s">
        <v>88</v>
      </c>
      <c r="H2" t="s">
        <v>93</v>
      </c>
      <c r="I2" t="s">
        <v>94</v>
      </c>
      <c r="J2" t="s">
        <v>94</v>
      </c>
      <c r="K2" t="s">
        <v>94</v>
      </c>
      <c r="L2" t="s">
        <v>94</v>
      </c>
      <c r="M2" t="s">
        <v>94</v>
      </c>
      <c r="O2" t="s">
        <v>94</v>
      </c>
      <c r="P2" t="s">
        <v>95</v>
      </c>
      <c r="Q2" t="s">
        <v>96</v>
      </c>
      <c r="S2" t="s">
        <v>93</v>
      </c>
      <c r="T2" t="s">
        <v>93</v>
      </c>
      <c r="U2" t="s">
        <v>94</v>
      </c>
      <c r="V2" t="s">
        <v>93</v>
      </c>
      <c r="W2" t="s">
        <v>93</v>
      </c>
      <c r="X2" t="s">
        <v>94</v>
      </c>
      <c r="Y2" t="s">
        <v>94</v>
      </c>
      <c r="AI2" t="s">
        <v>97</v>
      </c>
      <c r="AJ2">
        <v>3</v>
      </c>
      <c r="AK2">
        <v>3</v>
      </c>
      <c r="AL2">
        <v>3</v>
      </c>
      <c r="AM2">
        <v>4</v>
      </c>
      <c r="AN2" t="s">
        <v>98</v>
      </c>
      <c r="AO2">
        <v>4</v>
      </c>
      <c r="AP2">
        <v>4</v>
      </c>
      <c r="AQ2">
        <v>3</v>
      </c>
      <c r="AR2">
        <v>4</v>
      </c>
      <c r="AS2">
        <v>3</v>
      </c>
      <c r="AT2">
        <v>3</v>
      </c>
      <c r="AU2">
        <v>3</v>
      </c>
      <c r="AV2">
        <v>4</v>
      </c>
      <c r="AW2" t="s">
        <v>98</v>
      </c>
      <c r="AX2">
        <v>3</v>
      </c>
      <c r="AY2">
        <v>3</v>
      </c>
      <c r="AZ2" t="s">
        <v>98</v>
      </c>
      <c r="BA2">
        <v>4</v>
      </c>
      <c r="BB2">
        <v>4</v>
      </c>
      <c r="BC2">
        <v>3</v>
      </c>
      <c r="BD2" t="s">
        <v>98</v>
      </c>
      <c r="BE2">
        <v>4</v>
      </c>
      <c r="BF2">
        <v>4</v>
      </c>
      <c r="BG2" t="s">
        <v>98</v>
      </c>
      <c r="BH2" t="s">
        <v>99</v>
      </c>
      <c r="BI2" t="s">
        <v>99</v>
      </c>
      <c r="BJ2" t="s">
        <v>99</v>
      </c>
      <c r="BK2" t="s">
        <v>99</v>
      </c>
      <c r="BL2" t="s">
        <v>99</v>
      </c>
      <c r="BM2">
        <v>4</v>
      </c>
      <c r="BN2">
        <v>4</v>
      </c>
      <c r="BP2">
        <v>134.46</v>
      </c>
      <c r="BQ2">
        <v>39.14</v>
      </c>
      <c r="CD2">
        <v>95.32</v>
      </c>
    </row>
    <row r="3" spans="1:86" x14ac:dyDescent="0.35">
      <c r="A3">
        <v>204</v>
      </c>
      <c r="B3" t="s">
        <v>100</v>
      </c>
      <c r="C3">
        <v>2</v>
      </c>
      <c r="D3" t="s">
        <v>89</v>
      </c>
      <c r="E3">
        <v>1617470742</v>
      </c>
      <c r="F3" t="s">
        <v>101</v>
      </c>
      <c r="G3" t="s">
        <v>100</v>
      </c>
      <c r="H3" t="s">
        <v>93</v>
      </c>
      <c r="I3" t="s">
        <v>94</v>
      </c>
      <c r="J3" t="s">
        <v>94</v>
      </c>
      <c r="K3" t="s">
        <v>93</v>
      </c>
      <c r="L3" t="s">
        <v>93</v>
      </c>
      <c r="M3" t="s">
        <v>93</v>
      </c>
      <c r="O3" t="s">
        <v>93</v>
      </c>
      <c r="Q3" t="s">
        <v>104</v>
      </c>
      <c r="R3" t="s">
        <v>105</v>
      </c>
      <c r="S3" t="s">
        <v>94</v>
      </c>
      <c r="T3" t="s">
        <v>93</v>
      </c>
      <c r="U3" t="s">
        <v>93</v>
      </c>
      <c r="V3" t="s">
        <v>94</v>
      </c>
      <c r="W3" t="s">
        <v>93</v>
      </c>
      <c r="X3" t="s">
        <v>94</v>
      </c>
      <c r="Y3" t="s">
        <v>94</v>
      </c>
      <c r="AA3" t="s">
        <v>106</v>
      </c>
      <c r="AB3" t="s">
        <v>107</v>
      </c>
      <c r="AC3" t="s">
        <v>106</v>
      </c>
      <c r="AD3">
        <v>4</v>
      </c>
      <c r="AE3">
        <v>3</v>
      </c>
      <c r="AF3">
        <v>4</v>
      </c>
      <c r="AG3" t="s">
        <v>108</v>
      </c>
      <c r="AI3" t="s">
        <v>109</v>
      </c>
      <c r="AJ3">
        <v>3</v>
      </c>
      <c r="AK3">
        <v>4</v>
      </c>
      <c r="AL3">
        <v>4</v>
      </c>
      <c r="AM3" t="s">
        <v>110</v>
      </c>
      <c r="AN3">
        <v>3</v>
      </c>
      <c r="AO3">
        <v>4</v>
      </c>
      <c r="AP3">
        <v>4</v>
      </c>
      <c r="AQ3">
        <v>3</v>
      </c>
      <c r="AR3">
        <v>2</v>
      </c>
      <c r="AS3">
        <v>2</v>
      </c>
      <c r="AT3">
        <v>4</v>
      </c>
      <c r="AU3">
        <v>3</v>
      </c>
      <c r="AV3">
        <v>2</v>
      </c>
      <c r="AW3">
        <v>3</v>
      </c>
      <c r="AX3">
        <v>4</v>
      </c>
      <c r="AY3">
        <v>3</v>
      </c>
      <c r="AZ3" t="s">
        <v>98</v>
      </c>
      <c r="BA3">
        <v>3</v>
      </c>
      <c r="BB3">
        <v>3</v>
      </c>
      <c r="BC3" t="s">
        <v>111</v>
      </c>
      <c r="BD3">
        <v>4</v>
      </c>
      <c r="BE3">
        <v>2</v>
      </c>
      <c r="BF3">
        <v>3</v>
      </c>
      <c r="BG3">
        <v>3</v>
      </c>
      <c r="BH3">
        <v>4</v>
      </c>
      <c r="BI3">
        <v>2</v>
      </c>
      <c r="BJ3">
        <v>3</v>
      </c>
      <c r="BK3">
        <v>4</v>
      </c>
      <c r="BL3">
        <v>4</v>
      </c>
      <c r="BM3" t="s">
        <v>99</v>
      </c>
      <c r="BN3" t="s">
        <v>112</v>
      </c>
      <c r="BO3" t="s">
        <v>113</v>
      </c>
      <c r="BP3">
        <v>293.41000000000003</v>
      </c>
      <c r="BQ3">
        <v>100.97</v>
      </c>
      <c r="CD3">
        <v>192.44</v>
      </c>
    </row>
    <row r="4" spans="1:86" x14ac:dyDescent="0.35">
      <c r="A4">
        <v>206</v>
      </c>
      <c r="B4" t="s">
        <v>116</v>
      </c>
      <c r="C4">
        <v>2</v>
      </c>
      <c r="D4" t="s">
        <v>89</v>
      </c>
      <c r="E4">
        <v>803313417</v>
      </c>
      <c r="F4" t="s">
        <v>117</v>
      </c>
      <c r="G4" t="s">
        <v>116</v>
      </c>
      <c r="H4" t="s">
        <v>93</v>
      </c>
      <c r="I4" t="s">
        <v>93</v>
      </c>
      <c r="J4" t="s">
        <v>94</v>
      </c>
      <c r="K4" t="s">
        <v>94</v>
      </c>
      <c r="L4" t="s">
        <v>93</v>
      </c>
      <c r="M4" t="s">
        <v>93</v>
      </c>
      <c r="O4" t="s">
        <v>93</v>
      </c>
      <c r="Q4" t="s">
        <v>120</v>
      </c>
      <c r="R4" t="s">
        <v>105</v>
      </c>
      <c r="S4" t="s">
        <v>93</v>
      </c>
      <c r="T4" t="s">
        <v>94</v>
      </c>
      <c r="U4" t="s">
        <v>94</v>
      </c>
      <c r="V4" t="s">
        <v>93</v>
      </c>
      <c r="W4" t="s">
        <v>93</v>
      </c>
      <c r="X4" t="s">
        <v>94</v>
      </c>
      <c r="Y4" t="s">
        <v>93</v>
      </c>
      <c r="AA4" t="s">
        <v>107</v>
      </c>
      <c r="AB4" t="s">
        <v>108</v>
      </c>
      <c r="AC4" t="s">
        <v>106</v>
      </c>
      <c r="AD4" t="s">
        <v>121</v>
      </c>
      <c r="AE4">
        <v>4</v>
      </c>
      <c r="AF4" t="s">
        <v>121</v>
      </c>
      <c r="AG4">
        <v>3</v>
      </c>
      <c r="AI4" t="s">
        <v>97</v>
      </c>
      <c r="AJ4">
        <v>2</v>
      </c>
      <c r="AK4">
        <v>3</v>
      </c>
      <c r="AL4">
        <v>3</v>
      </c>
      <c r="AM4" t="s">
        <v>110</v>
      </c>
      <c r="AN4">
        <v>4</v>
      </c>
      <c r="AO4" t="s">
        <v>98</v>
      </c>
      <c r="AP4">
        <v>3</v>
      </c>
      <c r="AQ4">
        <v>3</v>
      </c>
      <c r="AR4">
        <v>3</v>
      </c>
      <c r="AS4">
        <v>3</v>
      </c>
      <c r="AT4">
        <v>2</v>
      </c>
      <c r="AU4">
        <v>3</v>
      </c>
      <c r="AV4">
        <v>4</v>
      </c>
      <c r="AW4" t="s">
        <v>98</v>
      </c>
      <c r="AX4">
        <v>4</v>
      </c>
      <c r="AY4" t="s">
        <v>98</v>
      </c>
      <c r="AZ4">
        <v>4</v>
      </c>
      <c r="BA4">
        <v>4</v>
      </c>
      <c r="BB4">
        <v>4</v>
      </c>
      <c r="BC4">
        <v>4</v>
      </c>
      <c r="BD4">
        <v>3</v>
      </c>
      <c r="BE4">
        <v>4</v>
      </c>
      <c r="BF4">
        <v>3</v>
      </c>
      <c r="BG4" t="s">
        <v>98</v>
      </c>
      <c r="BH4">
        <v>4</v>
      </c>
      <c r="BI4">
        <v>4</v>
      </c>
      <c r="BJ4">
        <v>3</v>
      </c>
      <c r="BK4" t="s">
        <v>99</v>
      </c>
      <c r="BL4">
        <v>3</v>
      </c>
      <c r="BM4">
        <v>4</v>
      </c>
      <c r="BN4">
        <v>4</v>
      </c>
      <c r="BP4">
        <v>575.19000000000005</v>
      </c>
      <c r="BQ4">
        <v>206.92</v>
      </c>
      <c r="CD4">
        <v>368.27</v>
      </c>
    </row>
    <row r="5" spans="1:86" x14ac:dyDescent="0.35">
      <c r="A5">
        <v>209</v>
      </c>
      <c r="B5" t="s">
        <v>124</v>
      </c>
      <c r="C5">
        <v>2</v>
      </c>
      <c r="D5" t="s">
        <v>89</v>
      </c>
      <c r="E5">
        <v>2076355115</v>
      </c>
      <c r="F5" t="s">
        <v>125</v>
      </c>
      <c r="G5" t="s">
        <v>124</v>
      </c>
      <c r="H5" t="s">
        <v>93</v>
      </c>
      <c r="I5" t="s">
        <v>94</v>
      </c>
      <c r="J5" t="s">
        <v>94</v>
      </c>
      <c r="K5" t="s">
        <v>94</v>
      </c>
      <c r="L5" t="s">
        <v>94</v>
      </c>
      <c r="M5" t="s">
        <v>94</v>
      </c>
      <c r="O5" t="s">
        <v>93</v>
      </c>
      <c r="Q5" t="s">
        <v>96</v>
      </c>
      <c r="R5" t="s">
        <v>94</v>
      </c>
      <c r="S5" t="s">
        <v>93</v>
      </c>
      <c r="T5" t="s">
        <v>93</v>
      </c>
      <c r="U5" t="s">
        <v>94</v>
      </c>
      <c r="V5" t="s">
        <v>94</v>
      </c>
      <c r="W5" t="s">
        <v>93</v>
      </c>
      <c r="X5" t="s">
        <v>94</v>
      </c>
      <c r="Y5" t="s">
        <v>94</v>
      </c>
      <c r="AA5" t="s">
        <v>128</v>
      </c>
      <c r="AB5" t="s">
        <v>128</v>
      </c>
      <c r="AC5" t="s">
        <v>128</v>
      </c>
      <c r="AD5" t="s">
        <v>129</v>
      </c>
      <c r="AE5">
        <v>3</v>
      </c>
      <c r="AF5">
        <v>4</v>
      </c>
      <c r="AG5" t="s">
        <v>108</v>
      </c>
      <c r="AI5" t="s">
        <v>109</v>
      </c>
      <c r="AJ5" t="s">
        <v>130</v>
      </c>
      <c r="AK5">
        <v>3</v>
      </c>
      <c r="AL5" t="s">
        <v>110</v>
      </c>
      <c r="AM5" t="s">
        <v>110</v>
      </c>
      <c r="AN5" t="s">
        <v>98</v>
      </c>
      <c r="AO5" t="s">
        <v>98</v>
      </c>
      <c r="AP5">
        <v>3</v>
      </c>
      <c r="AQ5">
        <v>3</v>
      </c>
      <c r="AR5">
        <v>2</v>
      </c>
      <c r="AS5" t="s">
        <v>111</v>
      </c>
      <c r="AT5" t="s">
        <v>98</v>
      </c>
      <c r="AU5" t="s">
        <v>98</v>
      </c>
      <c r="AV5">
        <v>4</v>
      </c>
      <c r="AW5">
        <v>2</v>
      </c>
      <c r="AX5" t="s">
        <v>98</v>
      </c>
      <c r="AY5" t="s">
        <v>98</v>
      </c>
      <c r="AZ5" t="s">
        <v>98</v>
      </c>
      <c r="BA5" t="s">
        <v>98</v>
      </c>
      <c r="BB5">
        <v>4</v>
      </c>
      <c r="BC5">
        <v>3</v>
      </c>
      <c r="BD5" t="s">
        <v>98</v>
      </c>
      <c r="BE5" t="s">
        <v>98</v>
      </c>
      <c r="BF5">
        <v>4</v>
      </c>
      <c r="BG5">
        <v>3</v>
      </c>
      <c r="BH5">
        <v>4</v>
      </c>
      <c r="BI5" t="s">
        <v>99</v>
      </c>
      <c r="BJ5" t="s">
        <v>99</v>
      </c>
      <c r="BK5" t="s">
        <v>99</v>
      </c>
      <c r="BL5">
        <v>3</v>
      </c>
      <c r="BM5" t="s">
        <v>99</v>
      </c>
      <c r="BN5" t="s">
        <v>99</v>
      </c>
      <c r="BO5" t="s">
        <v>131</v>
      </c>
      <c r="BP5">
        <v>873.63</v>
      </c>
      <c r="BQ5">
        <v>76.650000000000006</v>
      </c>
      <c r="CD5">
        <v>796.98</v>
      </c>
    </row>
    <row r="6" spans="1:86" x14ac:dyDescent="0.35">
      <c r="A6">
        <v>212</v>
      </c>
      <c r="B6" t="s">
        <v>134</v>
      </c>
      <c r="C6">
        <v>2</v>
      </c>
      <c r="D6" t="s">
        <v>89</v>
      </c>
      <c r="E6">
        <v>327811124</v>
      </c>
      <c r="F6" t="s">
        <v>135</v>
      </c>
      <c r="G6" t="s">
        <v>134</v>
      </c>
      <c r="H6" t="s">
        <v>93</v>
      </c>
      <c r="I6" t="s">
        <v>94</v>
      </c>
      <c r="J6" t="s">
        <v>94</v>
      </c>
      <c r="K6" t="s">
        <v>94</v>
      </c>
      <c r="L6" t="s">
        <v>94</v>
      </c>
      <c r="M6" t="s">
        <v>93</v>
      </c>
      <c r="O6" t="s">
        <v>93</v>
      </c>
      <c r="Q6" t="s">
        <v>96</v>
      </c>
      <c r="R6" t="s">
        <v>93</v>
      </c>
      <c r="S6" t="s">
        <v>94</v>
      </c>
      <c r="T6" t="s">
        <v>94</v>
      </c>
      <c r="U6" t="s">
        <v>94</v>
      </c>
      <c r="V6" t="s">
        <v>93</v>
      </c>
      <c r="W6" t="s">
        <v>94</v>
      </c>
      <c r="X6" t="s">
        <v>93</v>
      </c>
      <c r="Y6" t="s">
        <v>94</v>
      </c>
      <c r="AA6" t="s">
        <v>107</v>
      </c>
      <c r="AB6" t="s">
        <v>128</v>
      </c>
      <c r="AC6" t="s">
        <v>107</v>
      </c>
      <c r="AD6">
        <v>4</v>
      </c>
      <c r="AE6" t="s">
        <v>108</v>
      </c>
      <c r="AF6" t="s">
        <v>121</v>
      </c>
      <c r="AG6" t="s">
        <v>121</v>
      </c>
      <c r="AI6" t="s">
        <v>97</v>
      </c>
      <c r="AJ6">
        <v>2</v>
      </c>
      <c r="AK6">
        <v>2</v>
      </c>
      <c r="AL6">
        <v>2</v>
      </c>
      <c r="AM6" t="s">
        <v>110</v>
      </c>
      <c r="AN6">
        <v>4</v>
      </c>
      <c r="AO6" t="s">
        <v>111</v>
      </c>
      <c r="AP6">
        <v>3</v>
      </c>
      <c r="AQ6" t="s">
        <v>111</v>
      </c>
      <c r="AR6" t="s">
        <v>111</v>
      </c>
      <c r="AS6" t="s">
        <v>111</v>
      </c>
      <c r="AT6">
        <v>2</v>
      </c>
      <c r="AU6" t="s">
        <v>111</v>
      </c>
      <c r="AV6">
        <v>3</v>
      </c>
      <c r="AW6">
        <v>3</v>
      </c>
      <c r="AX6" t="s">
        <v>98</v>
      </c>
      <c r="AY6" t="s">
        <v>98</v>
      </c>
      <c r="AZ6">
        <v>4</v>
      </c>
      <c r="BA6" t="s">
        <v>98</v>
      </c>
      <c r="BB6">
        <v>3</v>
      </c>
      <c r="BC6">
        <v>3</v>
      </c>
      <c r="BD6" t="s">
        <v>98</v>
      </c>
      <c r="BE6" t="s">
        <v>98</v>
      </c>
      <c r="BF6">
        <v>3</v>
      </c>
      <c r="BG6" t="s">
        <v>98</v>
      </c>
      <c r="BH6">
        <v>4</v>
      </c>
      <c r="BI6" t="s">
        <v>112</v>
      </c>
      <c r="BJ6">
        <v>4</v>
      </c>
      <c r="BK6">
        <v>2</v>
      </c>
      <c r="BL6">
        <v>3</v>
      </c>
      <c r="BM6">
        <v>4</v>
      </c>
      <c r="BN6">
        <v>2</v>
      </c>
      <c r="BO6" t="s">
        <v>138</v>
      </c>
      <c r="BP6">
        <v>444.86</v>
      </c>
      <c r="BQ6">
        <v>117.25</v>
      </c>
      <c r="CD6">
        <v>327.61</v>
      </c>
    </row>
    <row r="7" spans="1:86" x14ac:dyDescent="0.35">
      <c r="A7">
        <v>213</v>
      </c>
      <c r="B7" t="s">
        <v>139</v>
      </c>
      <c r="C7">
        <v>2</v>
      </c>
      <c r="D7" t="s">
        <v>89</v>
      </c>
      <c r="E7">
        <v>589048412</v>
      </c>
      <c r="F7" t="s">
        <v>140</v>
      </c>
      <c r="G7" t="s">
        <v>139</v>
      </c>
      <c r="H7" t="s">
        <v>93</v>
      </c>
      <c r="I7" t="s">
        <v>94</v>
      </c>
      <c r="J7" t="s">
        <v>94</v>
      </c>
      <c r="K7" t="s">
        <v>94</v>
      </c>
      <c r="L7" t="s">
        <v>93</v>
      </c>
      <c r="M7" t="s">
        <v>94</v>
      </c>
      <c r="O7" t="s">
        <v>93</v>
      </c>
      <c r="Q7" t="s">
        <v>143</v>
      </c>
      <c r="R7" t="s">
        <v>105</v>
      </c>
      <c r="S7" t="s">
        <v>94</v>
      </c>
      <c r="T7" t="s">
        <v>94</v>
      </c>
      <c r="U7" t="s">
        <v>94</v>
      </c>
      <c r="V7" t="s">
        <v>94</v>
      </c>
      <c r="W7" t="s">
        <v>93</v>
      </c>
      <c r="X7" t="s">
        <v>94</v>
      </c>
      <c r="Y7" t="s">
        <v>94</v>
      </c>
      <c r="AA7" t="s">
        <v>107</v>
      </c>
      <c r="AB7" t="s">
        <v>108</v>
      </c>
      <c r="AC7" t="s">
        <v>108</v>
      </c>
      <c r="AD7" t="s">
        <v>121</v>
      </c>
      <c r="AE7" t="s">
        <v>121</v>
      </c>
      <c r="AF7" t="s">
        <v>108</v>
      </c>
      <c r="AG7" t="s">
        <v>121</v>
      </c>
      <c r="AI7" t="s">
        <v>97</v>
      </c>
      <c r="AJ7" t="s">
        <v>130</v>
      </c>
      <c r="AK7" t="s">
        <v>130</v>
      </c>
      <c r="AL7">
        <v>2</v>
      </c>
      <c r="AM7">
        <v>4</v>
      </c>
      <c r="AN7" t="s">
        <v>98</v>
      </c>
      <c r="AO7">
        <v>3</v>
      </c>
      <c r="AP7">
        <v>4</v>
      </c>
      <c r="AQ7" t="s">
        <v>111</v>
      </c>
      <c r="AR7" t="s">
        <v>111</v>
      </c>
      <c r="AS7" t="s">
        <v>111</v>
      </c>
      <c r="AT7" t="s">
        <v>111</v>
      </c>
      <c r="AU7" t="s">
        <v>111</v>
      </c>
      <c r="AV7">
        <v>4</v>
      </c>
      <c r="AW7">
        <v>4</v>
      </c>
      <c r="AX7">
        <v>4</v>
      </c>
      <c r="AY7" t="s">
        <v>98</v>
      </c>
      <c r="AZ7">
        <v>4</v>
      </c>
      <c r="BA7">
        <v>3</v>
      </c>
      <c r="BB7">
        <v>2</v>
      </c>
      <c r="BC7">
        <v>3</v>
      </c>
      <c r="BD7">
        <v>2</v>
      </c>
      <c r="BE7">
        <v>2</v>
      </c>
      <c r="BF7">
        <v>2</v>
      </c>
      <c r="BG7">
        <v>3</v>
      </c>
      <c r="BH7" t="s">
        <v>99</v>
      </c>
      <c r="BI7" t="s">
        <v>99</v>
      </c>
      <c r="BJ7" t="s">
        <v>99</v>
      </c>
      <c r="BK7" t="s">
        <v>99</v>
      </c>
      <c r="BL7" t="s">
        <v>99</v>
      </c>
      <c r="BM7" t="s">
        <v>99</v>
      </c>
      <c r="BN7" t="s">
        <v>99</v>
      </c>
      <c r="BP7">
        <v>2956.08</v>
      </c>
      <c r="BQ7">
        <v>196.37</v>
      </c>
      <c r="CD7">
        <v>2759.71</v>
      </c>
    </row>
    <row r="8" spans="1:86" x14ac:dyDescent="0.35">
      <c r="A8">
        <v>214</v>
      </c>
      <c r="B8" t="s">
        <v>144</v>
      </c>
      <c r="C8">
        <v>2</v>
      </c>
      <c r="D8" t="s">
        <v>89</v>
      </c>
      <c r="E8">
        <v>1761492807</v>
      </c>
      <c r="F8" t="s">
        <v>145</v>
      </c>
      <c r="G8" t="s">
        <v>144</v>
      </c>
      <c r="H8" t="s">
        <v>93</v>
      </c>
      <c r="I8" t="s">
        <v>94</v>
      </c>
      <c r="J8" t="s">
        <v>94</v>
      </c>
      <c r="K8" t="s">
        <v>94</v>
      </c>
      <c r="L8" t="s">
        <v>94</v>
      </c>
      <c r="M8" t="s">
        <v>94</v>
      </c>
      <c r="O8" t="s">
        <v>94</v>
      </c>
      <c r="P8" t="s">
        <v>148</v>
      </c>
      <c r="Q8" t="s">
        <v>104</v>
      </c>
      <c r="S8" t="s">
        <v>94</v>
      </c>
      <c r="T8" t="s">
        <v>93</v>
      </c>
      <c r="U8" t="s">
        <v>94</v>
      </c>
      <c r="V8" t="s">
        <v>93</v>
      </c>
      <c r="W8" t="s">
        <v>94</v>
      </c>
      <c r="X8" t="s">
        <v>94</v>
      </c>
      <c r="Y8" t="s">
        <v>93</v>
      </c>
      <c r="AI8" t="s">
        <v>97</v>
      </c>
      <c r="AJ8">
        <v>2</v>
      </c>
      <c r="AK8">
        <v>4</v>
      </c>
      <c r="AL8">
        <v>4</v>
      </c>
      <c r="AM8" t="s">
        <v>110</v>
      </c>
      <c r="AN8">
        <v>4</v>
      </c>
      <c r="AO8">
        <v>3</v>
      </c>
      <c r="AP8">
        <v>2</v>
      </c>
      <c r="AQ8" t="s">
        <v>111</v>
      </c>
      <c r="AR8" t="s">
        <v>111</v>
      </c>
      <c r="AS8" t="s">
        <v>111</v>
      </c>
      <c r="AT8">
        <v>3</v>
      </c>
      <c r="AU8">
        <v>4</v>
      </c>
      <c r="AV8">
        <v>4</v>
      </c>
      <c r="AW8" t="s">
        <v>98</v>
      </c>
      <c r="AX8">
        <v>3</v>
      </c>
      <c r="AY8">
        <v>3</v>
      </c>
      <c r="AZ8" t="s">
        <v>98</v>
      </c>
      <c r="BA8" t="s">
        <v>98</v>
      </c>
      <c r="BB8">
        <v>3</v>
      </c>
      <c r="BC8" t="s">
        <v>98</v>
      </c>
      <c r="BD8" t="s">
        <v>111</v>
      </c>
      <c r="BE8" t="s">
        <v>111</v>
      </c>
      <c r="BF8" t="s">
        <v>98</v>
      </c>
      <c r="BG8" t="s">
        <v>98</v>
      </c>
      <c r="BH8" t="s">
        <v>99</v>
      </c>
      <c r="BI8" t="s">
        <v>99</v>
      </c>
      <c r="BJ8" t="s">
        <v>99</v>
      </c>
      <c r="BK8" t="s">
        <v>99</v>
      </c>
      <c r="BL8">
        <v>3</v>
      </c>
      <c r="BM8" t="s">
        <v>99</v>
      </c>
      <c r="BN8" t="s">
        <v>99</v>
      </c>
      <c r="BO8" t="s">
        <v>149</v>
      </c>
      <c r="BP8">
        <v>244.62</v>
      </c>
      <c r="BQ8">
        <v>56.38</v>
      </c>
      <c r="CD8">
        <v>188.24</v>
      </c>
    </row>
    <row r="9" spans="1:86" x14ac:dyDescent="0.35">
      <c r="A9">
        <v>216</v>
      </c>
      <c r="B9" t="s">
        <v>154</v>
      </c>
      <c r="C9">
        <v>2</v>
      </c>
      <c r="D9" t="s">
        <v>89</v>
      </c>
      <c r="E9">
        <v>1037748864</v>
      </c>
      <c r="F9" t="s">
        <v>155</v>
      </c>
      <c r="G9" t="s">
        <v>154</v>
      </c>
      <c r="H9" t="s">
        <v>93</v>
      </c>
      <c r="I9" t="s">
        <v>94</v>
      </c>
      <c r="J9" t="s">
        <v>94</v>
      </c>
      <c r="K9" t="s">
        <v>94</v>
      </c>
      <c r="L9" t="s">
        <v>94</v>
      </c>
      <c r="M9" t="s">
        <v>94</v>
      </c>
      <c r="O9" t="s">
        <v>93</v>
      </c>
      <c r="Q9" t="s">
        <v>96</v>
      </c>
      <c r="R9" t="s">
        <v>93</v>
      </c>
      <c r="S9" t="s">
        <v>94</v>
      </c>
      <c r="T9" t="s">
        <v>93</v>
      </c>
      <c r="U9" t="s">
        <v>94</v>
      </c>
      <c r="V9" t="s">
        <v>94</v>
      </c>
      <c r="W9" t="s">
        <v>93</v>
      </c>
      <c r="X9" t="s">
        <v>93</v>
      </c>
      <c r="Y9" t="s">
        <v>93</v>
      </c>
      <c r="AA9" t="s">
        <v>108</v>
      </c>
      <c r="AB9" t="s">
        <v>106</v>
      </c>
      <c r="AC9" t="s">
        <v>107</v>
      </c>
      <c r="AD9" t="s">
        <v>121</v>
      </c>
      <c r="AE9" t="s">
        <v>121</v>
      </c>
      <c r="AF9" t="s">
        <v>121</v>
      </c>
      <c r="AG9" t="s">
        <v>121</v>
      </c>
      <c r="AI9" t="s">
        <v>158</v>
      </c>
      <c r="AJ9">
        <v>2</v>
      </c>
      <c r="AK9">
        <v>3</v>
      </c>
      <c r="AL9">
        <v>3</v>
      </c>
      <c r="AM9">
        <v>4</v>
      </c>
      <c r="AN9">
        <v>3</v>
      </c>
      <c r="AO9">
        <v>3</v>
      </c>
      <c r="AP9">
        <v>3</v>
      </c>
      <c r="AQ9">
        <v>4</v>
      </c>
      <c r="AR9">
        <v>2</v>
      </c>
      <c r="AS9">
        <v>2</v>
      </c>
      <c r="AT9">
        <v>3</v>
      </c>
      <c r="AU9">
        <v>3</v>
      </c>
      <c r="AV9">
        <v>4</v>
      </c>
      <c r="AW9">
        <v>4</v>
      </c>
      <c r="AX9">
        <v>4</v>
      </c>
      <c r="AY9" t="s">
        <v>98</v>
      </c>
      <c r="AZ9">
        <v>4</v>
      </c>
      <c r="BA9" t="s">
        <v>98</v>
      </c>
      <c r="BB9">
        <v>4</v>
      </c>
      <c r="BC9" t="s">
        <v>98</v>
      </c>
      <c r="BD9">
        <v>4</v>
      </c>
      <c r="BE9">
        <v>4</v>
      </c>
      <c r="BF9">
        <v>3</v>
      </c>
      <c r="BG9">
        <v>4</v>
      </c>
      <c r="BH9">
        <v>3</v>
      </c>
      <c r="BI9">
        <v>4</v>
      </c>
      <c r="BJ9">
        <v>3</v>
      </c>
      <c r="BK9">
        <v>3</v>
      </c>
      <c r="BL9">
        <v>4</v>
      </c>
      <c r="BM9">
        <v>4</v>
      </c>
      <c r="BN9">
        <v>4</v>
      </c>
      <c r="BP9">
        <v>221.29</v>
      </c>
      <c r="BQ9">
        <v>84.72</v>
      </c>
      <c r="CD9">
        <v>136.57</v>
      </c>
    </row>
    <row r="10" spans="1:86" x14ac:dyDescent="0.35">
      <c r="A10">
        <v>218</v>
      </c>
      <c r="B10" t="s">
        <v>160</v>
      </c>
      <c r="C10">
        <v>2</v>
      </c>
      <c r="D10" t="s">
        <v>89</v>
      </c>
      <c r="E10">
        <v>1991488047</v>
      </c>
      <c r="F10" t="s">
        <v>161</v>
      </c>
      <c r="G10" t="s">
        <v>160</v>
      </c>
      <c r="H10" t="s">
        <v>93</v>
      </c>
      <c r="I10" t="s">
        <v>94</v>
      </c>
      <c r="J10" t="s">
        <v>94</v>
      </c>
      <c r="K10" t="s">
        <v>94</v>
      </c>
      <c r="L10" t="s">
        <v>94</v>
      </c>
      <c r="M10" t="s">
        <v>93</v>
      </c>
      <c r="O10" t="s">
        <v>93</v>
      </c>
      <c r="Q10" t="s">
        <v>96</v>
      </c>
      <c r="R10" t="s">
        <v>105</v>
      </c>
      <c r="S10" t="s">
        <v>94</v>
      </c>
      <c r="T10" t="s">
        <v>93</v>
      </c>
      <c r="U10" t="s">
        <v>94</v>
      </c>
      <c r="V10" t="s">
        <v>94</v>
      </c>
      <c r="W10" t="s">
        <v>93</v>
      </c>
      <c r="X10" t="s">
        <v>93</v>
      </c>
      <c r="Y10" t="s">
        <v>93</v>
      </c>
      <c r="AA10" t="s">
        <v>128</v>
      </c>
      <c r="AB10" t="s">
        <v>107</v>
      </c>
      <c r="AC10" t="s">
        <v>106</v>
      </c>
      <c r="AD10">
        <v>4</v>
      </c>
      <c r="AE10" t="s">
        <v>108</v>
      </c>
      <c r="AF10" t="s">
        <v>108</v>
      </c>
      <c r="AG10" t="s">
        <v>108</v>
      </c>
      <c r="AI10" t="s">
        <v>97</v>
      </c>
      <c r="AJ10">
        <v>2</v>
      </c>
      <c r="AK10">
        <v>3</v>
      </c>
      <c r="AL10">
        <v>4</v>
      </c>
      <c r="AM10" t="s">
        <v>110</v>
      </c>
      <c r="AN10" t="s">
        <v>98</v>
      </c>
      <c r="AO10" t="s">
        <v>98</v>
      </c>
      <c r="AP10">
        <v>4</v>
      </c>
      <c r="AQ10">
        <v>3</v>
      </c>
      <c r="AR10">
        <v>3</v>
      </c>
      <c r="AS10">
        <v>3</v>
      </c>
      <c r="AT10" t="s">
        <v>111</v>
      </c>
      <c r="AU10">
        <v>2</v>
      </c>
      <c r="AV10">
        <v>4</v>
      </c>
      <c r="AW10" t="s">
        <v>98</v>
      </c>
      <c r="AX10">
        <v>3</v>
      </c>
      <c r="AY10">
        <v>3</v>
      </c>
      <c r="AZ10" t="s">
        <v>98</v>
      </c>
      <c r="BA10">
        <v>3</v>
      </c>
      <c r="BB10" t="s">
        <v>98</v>
      </c>
      <c r="BC10">
        <v>4</v>
      </c>
      <c r="BD10">
        <v>4</v>
      </c>
      <c r="BE10" t="s">
        <v>98</v>
      </c>
      <c r="BF10">
        <v>4</v>
      </c>
      <c r="BG10">
        <v>4</v>
      </c>
      <c r="BH10">
        <v>4</v>
      </c>
      <c r="BI10">
        <v>4</v>
      </c>
      <c r="BJ10" t="s">
        <v>99</v>
      </c>
      <c r="BK10">
        <v>4</v>
      </c>
      <c r="BL10">
        <v>4</v>
      </c>
      <c r="BM10">
        <v>4</v>
      </c>
      <c r="BN10" t="s">
        <v>99</v>
      </c>
      <c r="BO10" t="s">
        <v>164</v>
      </c>
      <c r="BP10">
        <v>1121.3699999999999</v>
      </c>
      <c r="BQ10">
        <v>574.75</v>
      </c>
      <c r="CD10">
        <v>546.62</v>
      </c>
    </row>
    <row r="11" spans="1:86" x14ac:dyDescent="0.35">
      <c r="A11">
        <v>219</v>
      </c>
      <c r="B11" t="s">
        <v>165</v>
      </c>
      <c r="C11">
        <v>2</v>
      </c>
      <c r="D11" t="s">
        <v>89</v>
      </c>
      <c r="E11">
        <v>590157972</v>
      </c>
      <c r="F11" t="s">
        <v>166</v>
      </c>
      <c r="G11" t="s">
        <v>165</v>
      </c>
      <c r="H11" t="s">
        <v>93</v>
      </c>
      <c r="I11" t="s">
        <v>94</v>
      </c>
      <c r="J11" t="s">
        <v>94</v>
      </c>
      <c r="K11" t="s">
        <v>94</v>
      </c>
      <c r="L11" t="s">
        <v>94</v>
      </c>
      <c r="M11" t="s">
        <v>93</v>
      </c>
      <c r="O11" t="s">
        <v>93</v>
      </c>
      <c r="Q11" t="s">
        <v>96</v>
      </c>
      <c r="R11" t="s">
        <v>105</v>
      </c>
      <c r="S11" t="s">
        <v>94</v>
      </c>
      <c r="T11" t="s">
        <v>93</v>
      </c>
      <c r="U11" t="s">
        <v>94</v>
      </c>
      <c r="V11" t="s">
        <v>94</v>
      </c>
      <c r="W11" t="s">
        <v>93</v>
      </c>
      <c r="X11" t="s">
        <v>93</v>
      </c>
      <c r="Y11" t="s">
        <v>93</v>
      </c>
      <c r="AA11" t="s">
        <v>107</v>
      </c>
      <c r="AB11" t="s">
        <v>106</v>
      </c>
      <c r="AC11" t="s">
        <v>106</v>
      </c>
      <c r="AD11">
        <v>4</v>
      </c>
      <c r="AE11" t="s">
        <v>108</v>
      </c>
      <c r="AF11" t="s">
        <v>108</v>
      </c>
      <c r="AG11" t="s">
        <v>108</v>
      </c>
      <c r="AI11" t="s">
        <v>97</v>
      </c>
      <c r="AJ11">
        <v>2</v>
      </c>
      <c r="AK11">
        <v>3</v>
      </c>
      <c r="AL11" t="s">
        <v>110</v>
      </c>
      <c r="AM11" t="s">
        <v>110</v>
      </c>
      <c r="AN11">
        <v>4</v>
      </c>
      <c r="AO11">
        <v>3</v>
      </c>
      <c r="AP11">
        <v>4</v>
      </c>
      <c r="AQ11">
        <v>3</v>
      </c>
      <c r="AR11">
        <v>4</v>
      </c>
      <c r="AS11">
        <v>3</v>
      </c>
      <c r="AT11">
        <v>3</v>
      </c>
      <c r="AU11">
        <v>2</v>
      </c>
      <c r="AV11">
        <v>4</v>
      </c>
      <c r="AW11">
        <v>4</v>
      </c>
      <c r="AX11">
        <v>3</v>
      </c>
      <c r="AY11">
        <v>3</v>
      </c>
      <c r="AZ11" t="s">
        <v>98</v>
      </c>
      <c r="BA11">
        <v>3</v>
      </c>
      <c r="BB11">
        <v>4</v>
      </c>
      <c r="BC11">
        <v>3</v>
      </c>
      <c r="BD11">
        <v>3</v>
      </c>
      <c r="BE11">
        <v>3</v>
      </c>
      <c r="BF11">
        <v>4</v>
      </c>
      <c r="BG11">
        <v>4</v>
      </c>
      <c r="BH11">
        <v>4</v>
      </c>
      <c r="BI11">
        <v>4</v>
      </c>
      <c r="BJ11">
        <v>4</v>
      </c>
      <c r="BK11" t="s">
        <v>99</v>
      </c>
      <c r="BL11" t="s">
        <v>99</v>
      </c>
      <c r="BM11" t="s">
        <v>99</v>
      </c>
      <c r="BN11" t="s">
        <v>99</v>
      </c>
      <c r="BO11" t="s">
        <v>169</v>
      </c>
      <c r="BP11">
        <v>1304.3</v>
      </c>
      <c r="BQ11">
        <v>558.45000000000005</v>
      </c>
      <c r="CD11">
        <v>745.85</v>
      </c>
    </row>
    <row r="12" spans="1:86" x14ac:dyDescent="0.35">
      <c r="A12">
        <v>220</v>
      </c>
      <c r="B12" t="s">
        <v>170</v>
      </c>
      <c r="C12">
        <v>2</v>
      </c>
      <c r="D12" t="s">
        <v>89</v>
      </c>
      <c r="E12">
        <v>1836758014</v>
      </c>
      <c r="F12" t="s">
        <v>171</v>
      </c>
      <c r="G12" t="s">
        <v>170</v>
      </c>
      <c r="H12" t="s">
        <v>93</v>
      </c>
      <c r="I12" t="s">
        <v>94</v>
      </c>
      <c r="J12" t="s">
        <v>94</v>
      </c>
      <c r="K12" t="s">
        <v>94</v>
      </c>
      <c r="L12" t="s">
        <v>94</v>
      </c>
      <c r="M12" t="s">
        <v>93</v>
      </c>
      <c r="O12" t="s">
        <v>93</v>
      </c>
      <c r="Q12" t="s">
        <v>120</v>
      </c>
      <c r="R12" t="s">
        <v>94</v>
      </c>
      <c r="S12" t="s">
        <v>94</v>
      </c>
      <c r="T12" t="s">
        <v>94</v>
      </c>
      <c r="U12" t="s">
        <v>94</v>
      </c>
      <c r="V12" t="s">
        <v>94</v>
      </c>
      <c r="W12" t="s">
        <v>93</v>
      </c>
      <c r="X12" t="s">
        <v>94</v>
      </c>
      <c r="Y12" t="s">
        <v>94</v>
      </c>
      <c r="Z12" t="s">
        <v>174</v>
      </c>
      <c r="AA12" t="s">
        <v>128</v>
      </c>
      <c r="AB12" t="s">
        <v>106</v>
      </c>
      <c r="AC12" t="s">
        <v>128</v>
      </c>
      <c r="AD12" t="s">
        <v>121</v>
      </c>
      <c r="AE12">
        <v>4</v>
      </c>
      <c r="AF12" t="s">
        <v>121</v>
      </c>
      <c r="AG12">
        <v>4</v>
      </c>
      <c r="AI12" t="s">
        <v>109</v>
      </c>
      <c r="AJ12">
        <v>2</v>
      </c>
      <c r="AK12">
        <v>4</v>
      </c>
      <c r="AL12">
        <v>4</v>
      </c>
      <c r="AM12" t="s">
        <v>110</v>
      </c>
      <c r="AN12">
        <v>4</v>
      </c>
      <c r="AO12">
        <v>4</v>
      </c>
      <c r="AP12">
        <v>3</v>
      </c>
      <c r="AQ12">
        <v>4</v>
      </c>
      <c r="AR12">
        <v>3</v>
      </c>
      <c r="AS12">
        <v>3</v>
      </c>
      <c r="AT12">
        <v>4</v>
      </c>
      <c r="AU12">
        <v>2</v>
      </c>
      <c r="AV12">
        <v>3</v>
      </c>
      <c r="AW12">
        <v>4</v>
      </c>
      <c r="AX12">
        <v>3</v>
      </c>
      <c r="AY12">
        <v>3</v>
      </c>
      <c r="AZ12">
        <v>3</v>
      </c>
      <c r="BA12">
        <v>3</v>
      </c>
      <c r="BB12">
        <v>2</v>
      </c>
      <c r="BC12">
        <v>3</v>
      </c>
      <c r="BD12">
        <v>3</v>
      </c>
      <c r="BE12">
        <v>3</v>
      </c>
      <c r="BF12">
        <v>3</v>
      </c>
      <c r="BG12">
        <v>3</v>
      </c>
      <c r="BH12">
        <v>3</v>
      </c>
      <c r="BI12">
        <v>3</v>
      </c>
      <c r="BJ12">
        <v>3</v>
      </c>
      <c r="BK12">
        <v>4</v>
      </c>
      <c r="BL12">
        <v>4</v>
      </c>
      <c r="BM12">
        <v>4</v>
      </c>
      <c r="BN12">
        <v>3</v>
      </c>
      <c r="BP12">
        <v>573.01</v>
      </c>
      <c r="BQ12">
        <v>287.10000000000002</v>
      </c>
      <c r="CD12">
        <v>285.91000000000003</v>
      </c>
    </row>
    <row r="13" spans="1:86" x14ac:dyDescent="0.35">
      <c r="A13">
        <v>222</v>
      </c>
      <c r="B13" t="s">
        <v>176</v>
      </c>
      <c r="C13">
        <v>2</v>
      </c>
      <c r="D13" t="s">
        <v>89</v>
      </c>
      <c r="E13">
        <v>1576039552</v>
      </c>
      <c r="F13" t="s">
        <v>177</v>
      </c>
      <c r="G13" t="s">
        <v>176</v>
      </c>
      <c r="H13" t="s">
        <v>93</v>
      </c>
      <c r="I13" t="s">
        <v>94</v>
      </c>
      <c r="J13" t="s">
        <v>94</v>
      </c>
      <c r="K13" t="s">
        <v>94</v>
      </c>
      <c r="L13" t="s">
        <v>93</v>
      </c>
      <c r="M13" t="s">
        <v>94</v>
      </c>
      <c r="O13" t="s">
        <v>93</v>
      </c>
      <c r="Q13" t="s">
        <v>96</v>
      </c>
      <c r="R13" t="s">
        <v>93</v>
      </c>
      <c r="S13" t="s">
        <v>93</v>
      </c>
      <c r="T13" t="s">
        <v>94</v>
      </c>
      <c r="U13" t="s">
        <v>94</v>
      </c>
      <c r="V13" t="s">
        <v>94</v>
      </c>
      <c r="W13" t="s">
        <v>93</v>
      </c>
      <c r="X13" t="s">
        <v>94</v>
      </c>
      <c r="Y13" t="s">
        <v>94</v>
      </c>
      <c r="AA13" t="s">
        <v>107</v>
      </c>
      <c r="AB13" t="s">
        <v>106</v>
      </c>
      <c r="AC13" t="s">
        <v>108</v>
      </c>
      <c r="AD13" t="s">
        <v>121</v>
      </c>
      <c r="AE13" t="s">
        <v>108</v>
      </c>
      <c r="AF13" t="s">
        <v>108</v>
      </c>
      <c r="AG13" t="s">
        <v>121</v>
      </c>
      <c r="AI13" t="s">
        <v>97</v>
      </c>
      <c r="AJ13">
        <v>3</v>
      </c>
      <c r="AK13">
        <v>4</v>
      </c>
      <c r="AL13">
        <v>4</v>
      </c>
      <c r="AM13" t="s">
        <v>110</v>
      </c>
      <c r="AN13">
        <v>4</v>
      </c>
      <c r="AO13">
        <v>4</v>
      </c>
      <c r="AP13">
        <v>3</v>
      </c>
      <c r="AQ13">
        <v>3</v>
      </c>
      <c r="AR13">
        <v>3</v>
      </c>
      <c r="AS13">
        <v>4</v>
      </c>
      <c r="AT13">
        <v>4</v>
      </c>
      <c r="AU13" t="s">
        <v>98</v>
      </c>
      <c r="AV13">
        <v>4</v>
      </c>
      <c r="AW13" t="s">
        <v>98</v>
      </c>
      <c r="AX13">
        <v>4</v>
      </c>
      <c r="AY13" t="s">
        <v>98</v>
      </c>
      <c r="AZ13">
        <v>3</v>
      </c>
      <c r="BA13">
        <v>3</v>
      </c>
      <c r="BB13">
        <v>3</v>
      </c>
      <c r="BC13">
        <v>3</v>
      </c>
      <c r="BD13">
        <v>4</v>
      </c>
      <c r="BE13" t="s">
        <v>98</v>
      </c>
      <c r="BF13">
        <v>4</v>
      </c>
      <c r="BG13" t="s">
        <v>98</v>
      </c>
      <c r="BH13">
        <v>4</v>
      </c>
      <c r="BI13">
        <v>4</v>
      </c>
      <c r="BJ13">
        <v>3</v>
      </c>
      <c r="BK13">
        <v>4</v>
      </c>
      <c r="BL13">
        <v>3</v>
      </c>
      <c r="BM13">
        <v>4</v>
      </c>
      <c r="BN13">
        <v>4</v>
      </c>
      <c r="BP13">
        <v>253.24</v>
      </c>
      <c r="BQ13">
        <v>98.71</v>
      </c>
      <c r="CD13">
        <v>154.53</v>
      </c>
    </row>
    <row r="14" spans="1:86" x14ac:dyDescent="0.35">
      <c r="A14">
        <v>223</v>
      </c>
      <c r="B14" t="s">
        <v>180</v>
      </c>
      <c r="C14">
        <v>2</v>
      </c>
      <c r="D14" t="s">
        <v>89</v>
      </c>
      <c r="E14">
        <v>374717104</v>
      </c>
      <c r="F14" t="s">
        <v>181</v>
      </c>
      <c r="G14" t="s">
        <v>180</v>
      </c>
      <c r="H14" t="s">
        <v>93</v>
      </c>
      <c r="I14" t="s">
        <v>94</v>
      </c>
      <c r="J14" t="s">
        <v>93</v>
      </c>
      <c r="K14" t="s">
        <v>94</v>
      </c>
      <c r="L14" t="s">
        <v>93</v>
      </c>
      <c r="M14" t="s">
        <v>94</v>
      </c>
      <c r="O14" t="s">
        <v>93</v>
      </c>
      <c r="Q14" t="s">
        <v>96</v>
      </c>
      <c r="R14" t="s">
        <v>105</v>
      </c>
      <c r="S14" t="s">
        <v>93</v>
      </c>
      <c r="T14" t="s">
        <v>94</v>
      </c>
      <c r="U14" t="s">
        <v>93</v>
      </c>
      <c r="V14" t="s">
        <v>93</v>
      </c>
      <c r="W14" t="s">
        <v>93</v>
      </c>
      <c r="X14" t="s">
        <v>94</v>
      </c>
      <c r="Y14" t="s">
        <v>94</v>
      </c>
      <c r="AA14" t="s">
        <v>107</v>
      </c>
      <c r="AB14" t="s">
        <v>106</v>
      </c>
      <c r="AC14" t="s">
        <v>107</v>
      </c>
      <c r="AD14">
        <v>4</v>
      </c>
      <c r="AE14" t="s">
        <v>121</v>
      </c>
      <c r="AF14" t="s">
        <v>121</v>
      </c>
      <c r="AG14" t="s">
        <v>121</v>
      </c>
      <c r="AI14" t="s">
        <v>97</v>
      </c>
      <c r="AJ14">
        <v>2</v>
      </c>
      <c r="AK14">
        <v>3</v>
      </c>
      <c r="AL14">
        <v>3</v>
      </c>
      <c r="AM14">
        <v>4</v>
      </c>
      <c r="AN14">
        <v>3</v>
      </c>
      <c r="AO14">
        <v>3</v>
      </c>
      <c r="AP14">
        <v>3</v>
      </c>
      <c r="AQ14">
        <v>3</v>
      </c>
      <c r="AR14">
        <v>2</v>
      </c>
      <c r="AS14">
        <v>2</v>
      </c>
      <c r="AT14">
        <v>3</v>
      </c>
      <c r="AU14">
        <v>4</v>
      </c>
      <c r="AV14">
        <v>3</v>
      </c>
      <c r="AW14">
        <v>4</v>
      </c>
      <c r="AX14">
        <v>3</v>
      </c>
      <c r="AY14">
        <v>4</v>
      </c>
      <c r="AZ14" t="s">
        <v>98</v>
      </c>
      <c r="BA14" t="s">
        <v>98</v>
      </c>
      <c r="BB14">
        <v>4</v>
      </c>
      <c r="BC14" t="s">
        <v>98</v>
      </c>
      <c r="BD14">
        <v>2</v>
      </c>
      <c r="BE14">
        <v>3</v>
      </c>
      <c r="BF14">
        <v>3</v>
      </c>
      <c r="BG14" t="s">
        <v>98</v>
      </c>
      <c r="BH14" t="s">
        <v>99</v>
      </c>
      <c r="BI14" t="s">
        <v>99</v>
      </c>
      <c r="BJ14">
        <v>3</v>
      </c>
      <c r="BK14" t="s">
        <v>99</v>
      </c>
      <c r="BL14" t="s">
        <v>99</v>
      </c>
      <c r="BM14" t="s">
        <v>99</v>
      </c>
      <c r="BN14" t="s">
        <v>99</v>
      </c>
      <c r="BP14">
        <v>295.58999999999997</v>
      </c>
      <c r="BQ14">
        <v>99</v>
      </c>
      <c r="CD14">
        <v>196.59</v>
      </c>
    </row>
    <row r="15" spans="1:86" x14ac:dyDescent="0.35">
      <c r="A15">
        <v>224</v>
      </c>
      <c r="B15" t="s">
        <v>182</v>
      </c>
      <c r="C15">
        <v>2</v>
      </c>
      <c r="D15" t="s">
        <v>89</v>
      </c>
      <c r="E15">
        <v>1089118351</v>
      </c>
      <c r="F15" t="s">
        <v>183</v>
      </c>
      <c r="G15" t="s">
        <v>182</v>
      </c>
      <c r="H15" t="s">
        <v>94</v>
      </c>
      <c r="I15" t="s">
        <v>94</v>
      </c>
      <c r="J15" t="s">
        <v>94</v>
      </c>
      <c r="K15" t="s">
        <v>94</v>
      </c>
      <c r="L15" t="s">
        <v>93</v>
      </c>
      <c r="M15" t="s">
        <v>93</v>
      </c>
      <c r="O15" t="s">
        <v>93</v>
      </c>
      <c r="Q15" t="s">
        <v>120</v>
      </c>
      <c r="R15" t="s">
        <v>94</v>
      </c>
      <c r="S15" t="s">
        <v>93</v>
      </c>
      <c r="T15" t="s">
        <v>93</v>
      </c>
      <c r="U15" t="s">
        <v>94</v>
      </c>
      <c r="V15" t="s">
        <v>93</v>
      </c>
      <c r="W15" t="s">
        <v>93</v>
      </c>
      <c r="X15" t="s">
        <v>93</v>
      </c>
      <c r="Y15" t="s">
        <v>93</v>
      </c>
      <c r="AA15" t="s">
        <v>106</v>
      </c>
      <c r="AB15" t="s">
        <v>128</v>
      </c>
      <c r="AC15" t="s">
        <v>128</v>
      </c>
      <c r="AD15">
        <v>2</v>
      </c>
      <c r="AE15" t="s">
        <v>129</v>
      </c>
      <c r="AF15" t="s">
        <v>129</v>
      </c>
      <c r="AG15" t="s">
        <v>129</v>
      </c>
      <c r="AH15" t="s">
        <v>186</v>
      </c>
      <c r="AI15" t="s">
        <v>97</v>
      </c>
      <c r="AJ15" t="s">
        <v>130</v>
      </c>
      <c r="AK15" t="s">
        <v>130</v>
      </c>
      <c r="AL15">
        <v>3</v>
      </c>
      <c r="AM15">
        <v>4</v>
      </c>
      <c r="AN15" t="s">
        <v>98</v>
      </c>
      <c r="AO15">
        <v>4</v>
      </c>
      <c r="AP15">
        <v>3</v>
      </c>
      <c r="AQ15">
        <v>3</v>
      </c>
      <c r="AR15">
        <v>3</v>
      </c>
      <c r="AS15">
        <v>3</v>
      </c>
      <c r="AT15">
        <v>2</v>
      </c>
      <c r="AU15">
        <v>3</v>
      </c>
      <c r="AV15">
        <v>4</v>
      </c>
      <c r="AW15">
        <v>4</v>
      </c>
      <c r="AX15">
        <v>3</v>
      </c>
      <c r="AY15">
        <v>4</v>
      </c>
      <c r="AZ15">
        <v>4</v>
      </c>
      <c r="BA15">
        <v>4</v>
      </c>
      <c r="BB15">
        <v>2</v>
      </c>
      <c r="BC15">
        <v>3</v>
      </c>
      <c r="BD15">
        <v>3</v>
      </c>
      <c r="BE15">
        <v>3</v>
      </c>
      <c r="BF15">
        <v>3</v>
      </c>
      <c r="BG15">
        <v>3</v>
      </c>
      <c r="BH15" t="s">
        <v>99</v>
      </c>
      <c r="BI15">
        <v>4</v>
      </c>
      <c r="BJ15" t="s">
        <v>99</v>
      </c>
      <c r="BK15" t="s">
        <v>99</v>
      </c>
      <c r="BL15" t="s">
        <v>99</v>
      </c>
      <c r="BM15" t="s">
        <v>99</v>
      </c>
      <c r="BN15" t="s">
        <v>99</v>
      </c>
      <c r="BP15">
        <v>426.96</v>
      </c>
      <c r="BQ15">
        <v>233.52</v>
      </c>
      <c r="CD15">
        <v>193.44</v>
      </c>
    </row>
    <row r="16" spans="1:86" x14ac:dyDescent="0.35">
      <c r="A16">
        <v>225</v>
      </c>
      <c r="B16" t="s">
        <v>187</v>
      </c>
      <c r="C16">
        <v>2</v>
      </c>
      <c r="D16" t="s">
        <v>89</v>
      </c>
      <c r="E16">
        <v>1761386391</v>
      </c>
      <c r="F16" t="s">
        <v>188</v>
      </c>
      <c r="G16" t="s">
        <v>187</v>
      </c>
      <c r="H16" t="s">
        <v>93</v>
      </c>
      <c r="I16" t="s">
        <v>94</v>
      </c>
      <c r="J16" t="s">
        <v>94</v>
      </c>
      <c r="K16" t="s">
        <v>94</v>
      </c>
      <c r="L16" t="s">
        <v>94</v>
      </c>
      <c r="M16" t="s">
        <v>93</v>
      </c>
      <c r="O16" t="s">
        <v>94</v>
      </c>
      <c r="P16" t="s">
        <v>191</v>
      </c>
      <c r="Q16" t="s">
        <v>96</v>
      </c>
      <c r="S16" t="s">
        <v>94</v>
      </c>
      <c r="T16" t="s">
        <v>94</v>
      </c>
      <c r="U16" t="s">
        <v>94</v>
      </c>
      <c r="V16" t="s">
        <v>94</v>
      </c>
      <c r="W16" t="s">
        <v>93</v>
      </c>
      <c r="X16" t="s">
        <v>94</v>
      </c>
      <c r="Y16" t="s">
        <v>94</v>
      </c>
      <c r="AI16" t="s">
        <v>97</v>
      </c>
      <c r="AJ16" t="s">
        <v>130</v>
      </c>
      <c r="AK16">
        <v>2</v>
      </c>
      <c r="AL16">
        <v>3</v>
      </c>
      <c r="AM16">
        <v>4</v>
      </c>
      <c r="AN16">
        <v>4</v>
      </c>
      <c r="AO16">
        <v>3</v>
      </c>
      <c r="AP16" t="s">
        <v>111</v>
      </c>
      <c r="AQ16" t="s">
        <v>111</v>
      </c>
      <c r="AR16" t="s">
        <v>111</v>
      </c>
      <c r="AS16" t="s">
        <v>111</v>
      </c>
      <c r="AT16">
        <v>3</v>
      </c>
      <c r="AU16">
        <v>2</v>
      </c>
      <c r="AV16" t="s">
        <v>111</v>
      </c>
      <c r="AW16">
        <v>2</v>
      </c>
      <c r="AX16">
        <v>4</v>
      </c>
      <c r="AY16" t="s">
        <v>98</v>
      </c>
      <c r="AZ16">
        <v>4</v>
      </c>
      <c r="BA16">
        <v>2</v>
      </c>
      <c r="BB16">
        <v>3</v>
      </c>
      <c r="BC16">
        <v>3</v>
      </c>
      <c r="BD16">
        <v>3</v>
      </c>
      <c r="BE16">
        <v>3</v>
      </c>
      <c r="BF16" t="s">
        <v>111</v>
      </c>
      <c r="BG16" t="s">
        <v>111</v>
      </c>
      <c r="BH16">
        <v>3</v>
      </c>
      <c r="BI16">
        <v>3</v>
      </c>
      <c r="BJ16">
        <v>3</v>
      </c>
      <c r="BK16">
        <v>3</v>
      </c>
      <c r="BL16">
        <v>3</v>
      </c>
      <c r="BM16">
        <v>4</v>
      </c>
      <c r="BN16">
        <v>3</v>
      </c>
      <c r="BP16">
        <v>416.26</v>
      </c>
      <c r="BQ16">
        <v>142.01</v>
      </c>
      <c r="CD16">
        <v>274.25</v>
      </c>
    </row>
    <row r="17" spans="1:82" x14ac:dyDescent="0.35">
      <c r="A17">
        <v>226</v>
      </c>
      <c r="B17" t="s">
        <v>192</v>
      </c>
      <c r="C17">
        <v>2</v>
      </c>
      <c r="D17" t="s">
        <v>89</v>
      </c>
      <c r="E17">
        <v>643763955</v>
      </c>
      <c r="F17" t="s">
        <v>193</v>
      </c>
      <c r="G17" t="s">
        <v>192</v>
      </c>
      <c r="H17" t="s">
        <v>93</v>
      </c>
      <c r="I17" t="s">
        <v>94</v>
      </c>
      <c r="J17" t="s">
        <v>94</v>
      </c>
      <c r="K17" t="s">
        <v>94</v>
      </c>
      <c r="L17" t="s">
        <v>93</v>
      </c>
      <c r="M17" t="s">
        <v>94</v>
      </c>
      <c r="O17" t="s">
        <v>93</v>
      </c>
      <c r="Q17" t="s">
        <v>120</v>
      </c>
      <c r="R17" t="s">
        <v>94</v>
      </c>
      <c r="S17" t="s">
        <v>93</v>
      </c>
      <c r="T17" t="s">
        <v>93</v>
      </c>
      <c r="U17" t="s">
        <v>94</v>
      </c>
      <c r="V17" t="s">
        <v>94</v>
      </c>
      <c r="W17" t="s">
        <v>93</v>
      </c>
      <c r="X17" t="s">
        <v>94</v>
      </c>
      <c r="Y17" t="s">
        <v>94</v>
      </c>
      <c r="AA17" t="s">
        <v>106</v>
      </c>
      <c r="AB17" t="s">
        <v>107</v>
      </c>
      <c r="AC17" t="s">
        <v>106</v>
      </c>
      <c r="AD17">
        <v>4</v>
      </c>
      <c r="AE17">
        <v>3</v>
      </c>
      <c r="AF17">
        <v>3</v>
      </c>
      <c r="AG17">
        <v>3</v>
      </c>
      <c r="AI17" t="s">
        <v>109</v>
      </c>
      <c r="AJ17">
        <v>2</v>
      </c>
      <c r="AK17">
        <v>2</v>
      </c>
      <c r="AL17">
        <v>3</v>
      </c>
      <c r="AM17">
        <v>4</v>
      </c>
      <c r="AN17">
        <v>4</v>
      </c>
      <c r="AO17">
        <v>3</v>
      </c>
      <c r="AP17">
        <v>2</v>
      </c>
      <c r="AQ17">
        <v>2</v>
      </c>
      <c r="AR17">
        <v>2</v>
      </c>
      <c r="AS17" t="s">
        <v>111</v>
      </c>
      <c r="AT17">
        <v>2</v>
      </c>
      <c r="AU17">
        <v>2</v>
      </c>
      <c r="AV17">
        <v>4</v>
      </c>
      <c r="AW17">
        <v>3</v>
      </c>
      <c r="AX17">
        <v>4</v>
      </c>
      <c r="AY17" t="s">
        <v>98</v>
      </c>
      <c r="AZ17" t="s">
        <v>98</v>
      </c>
      <c r="BA17" t="s">
        <v>98</v>
      </c>
      <c r="BB17">
        <v>3</v>
      </c>
      <c r="BC17">
        <v>3</v>
      </c>
      <c r="BD17">
        <v>3</v>
      </c>
      <c r="BE17">
        <v>3</v>
      </c>
      <c r="BF17">
        <v>4</v>
      </c>
      <c r="BG17" t="s">
        <v>98</v>
      </c>
      <c r="BH17" t="s">
        <v>99</v>
      </c>
      <c r="BI17">
        <v>4</v>
      </c>
      <c r="BJ17" t="s">
        <v>99</v>
      </c>
      <c r="BK17">
        <v>4</v>
      </c>
      <c r="BL17">
        <v>3</v>
      </c>
      <c r="BM17" t="s">
        <v>99</v>
      </c>
      <c r="BN17" t="s">
        <v>99</v>
      </c>
      <c r="BO17" t="s">
        <v>196</v>
      </c>
      <c r="BP17">
        <v>404.17</v>
      </c>
      <c r="BQ17">
        <v>145.22999999999999</v>
      </c>
      <c r="CD17">
        <v>258.94</v>
      </c>
    </row>
    <row r="18" spans="1:82" x14ac:dyDescent="0.35">
      <c r="A18">
        <v>227</v>
      </c>
      <c r="B18" t="s">
        <v>197</v>
      </c>
      <c r="C18">
        <v>2</v>
      </c>
      <c r="D18" t="s">
        <v>89</v>
      </c>
      <c r="E18">
        <v>1633762539</v>
      </c>
      <c r="F18" t="s">
        <v>198</v>
      </c>
      <c r="G18" t="s">
        <v>197</v>
      </c>
      <c r="H18" t="s">
        <v>94</v>
      </c>
      <c r="I18" t="s">
        <v>93</v>
      </c>
      <c r="J18" t="s">
        <v>94</v>
      </c>
      <c r="K18" t="s">
        <v>94</v>
      </c>
      <c r="L18" t="s">
        <v>94</v>
      </c>
      <c r="M18" t="s">
        <v>94</v>
      </c>
      <c r="O18" t="s">
        <v>93</v>
      </c>
      <c r="Q18" t="s">
        <v>96</v>
      </c>
      <c r="R18" t="s">
        <v>105</v>
      </c>
      <c r="S18" t="s">
        <v>93</v>
      </c>
      <c r="T18" t="s">
        <v>93</v>
      </c>
      <c r="U18" t="s">
        <v>94</v>
      </c>
      <c r="V18" t="s">
        <v>94</v>
      </c>
      <c r="W18" t="s">
        <v>94</v>
      </c>
      <c r="X18" t="s">
        <v>93</v>
      </c>
      <c r="Y18" t="s">
        <v>94</v>
      </c>
      <c r="AA18" t="s">
        <v>108</v>
      </c>
      <c r="AB18" t="s">
        <v>108</v>
      </c>
      <c r="AC18" t="s">
        <v>107</v>
      </c>
      <c r="AD18" t="s">
        <v>108</v>
      </c>
      <c r="AE18" t="s">
        <v>108</v>
      </c>
      <c r="AF18" t="s">
        <v>108</v>
      </c>
      <c r="AG18" t="s">
        <v>108</v>
      </c>
      <c r="AI18" t="s">
        <v>158</v>
      </c>
      <c r="AJ18">
        <v>3</v>
      </c>
      <c r="AK18">
        <v>3</v>
      </c>
      <c r="AL18">
        <v>4</v>
      </c>
      <c r="AM18" t="s">
        <v>110</v>
      </c>
      <c r="AN18">
        <v>4</v>
      </c>
      <c r="AO18" t="s">
        <v>98</v>
      </c>
      <c r="AP18">
        <v>3</v>
      </c>
      <c r="AQ18" t="s">
        <v>98</v>
      </c>
      <c r="AR18">
        <v>4</v>
      </c>
      <c r="AS18">
        <v>3</v>
      </c>
      <c r="AT18">
        <v>4</v>
      </c>
      <c r="AU18">
        <v>4</v>
      </c>
      <c r="AV18" t="s">
        <v>98</v>
      </c>
      <c r="AW18" t="s">
        <v>98</v>
      </c>
      <c r="AX18">
        <v>3</v>
      </c>
      <c r="AY18">
        <v>4</v>
      </c>
      <c r="AZ18">
        <v>4</v>
      </c>
      <c r="BA18">
        <v>4</v>
      </c>
      <c r="BB18">
        <v>3</v>
      </c>
      <c r="BC18">
        <v>2</v>
      </c>
      <c r="BD18">
        <v>4</v>
      </c>
      <c r="BE18">
        <v>4</v>
      </c>
      <c r="BF18">
        <v>4</v>
      </c>
      <c r="BG18">
        <v>3</v>
      </c>
      <c r="BH18" t="s">
        <v>99</v>
      </c>
      <c r="BI18" t="s">
        <v>99</v>
      </c>
      <c r="BJ18" t="s">
        <v>99</v>
      </c>
      <c r="BK18" t="s">
        <v>99</v>
      </c>
      <c r="BL18">
        <v>4</v>
      </c>
      <c r="BM18" t="s">
        <v>99</v>
      </c>
      <c r="BN18" t="s">
        <v>99</v>
      </c>
      <c r="BO18" t="s">
        <v>201</v>
      </c>
      <c r="BP18">
        <v>610.73</v>
      </c>
      <c r="BQ18">
        <v>275.76</v>
      </c>
      <c r="CD18">
        <v>334.97</v>
      </c>
    </row>
    <row r="19" spans="1:82" x14ac:dyDescent="0.35">
      <c r="A19">
        <v>228</v>
      </c>
      <c r="B19" t="s">
        <v>202</v>
      </c>
      <c r="C19">
        <v>2</v>
      </c>
      <c r="D19" t="s">
        <v>89</v>
      </c>
      <c r="E19">
        <v>1046872551</v>
      </c>
      <c r="F19" t="s">
        <v>203</v>
      </c>
      <c r="G19" t="s">
        <v>202</v>
      </c>
      <c r="H19" t="s">
        <v>93</v>
      </c>
      <c r="I19" t="s">
        <v>94</v>
      </c>
      <c r="J19" t="s">
        <v>94</v>
      </c>
      <c r="K19" t="s">
        <v>94</v>
      </c>
      <c r="L19" t="s">
        <v>94</v>
      </c>
      <c r="M19" t="s">
        <v>94</v>
      </c>
      <c r="O19" t="s">
        <v>93</v>
      </c>
      <c r="Q19" t="s">
        <v>120</v>
      </c>
      <c r="R19" t="s">
        <v>94</v>
      </c>
      <c r="S19" t="s">
        <v>94</v>
      </c>
      <c r="T19" t="s">
        <v>94</v>
      </c>
      <c r="U19" t="s">
        <v>94</v>
      </c>
      <c r="V19" t="s">
        <v>94</v>
      </c>
      <c r="W19" t="s">
        <v>94</v>
      </c>
      <c r="X19" t="s">
        <v>94</v>
      </c>
      <c r="Y19" t="s">
        <v>94</v>
      </c>
      <c r="Z19" t="s">
        <v>206</v>
      </c>
      <c r="AA19" t="s">
        <v>128</v>
      </c>
      <c r="AB19" t="s">
        <v>128</v>
      </c>
      <c r="AC19" t="s">
        <v>128</v>
      </c>
      <c r="AD19" t="s">
        <v>108</v>
      </c>
      <c r="AE19" t="s">
        <v>108</v>
      </c>
      <c r="AF19" t="s">
        <v>108</v>
      </c>
      <c r="AG19">
        <v>4</v>
      </c>
      <c r="AI19" t="s">
        <v>109</v>
      </c>
      <c r="AJ19">
        <v>3</v>
      </c>
      <c r="AK19">
        <v>4</v>
      </c>
      <c r="AL19" t="s">
        <v>110</v>
      </c>
      <c r="AM19" t="s">
        <v>110</v>
      </c>
      <c r="AN19">
        <v>4</v>
      </c>
      <c r="AO19" t="s">
        <v>98</v>
      </c>
      <c r="AP19">
        <v>2</v>
      </c>
      <c r="AQ19">
        <v>3</v>
      </c>
      <c r="AR19">
        <v>3</v>
      </c>
      <c r="AS19">
        <v>3</v>
      </c>
      <c r="AT19">
        <v>3</v>
      </c>
      <c r="AU19">
        <v>3</v>
      </c>
      <c r="AV19">
        <v>3</v>
      </c>
      <c r="AW19">
        <v>3</v>
      </c>
      <c r="AX19">
        <v>4</v>
      </c>
      <c r="AY19" t="s">
        <v>98</v>
      </c>
      <c r="AZ19">
        <v>3</v>
      </c>
      <c r="BA19">
        <v>4</v>
      </c>
      <c r="BB19" t="s">
        <v>111</v>
      </c>
      <c r="BC19">
        <v>3</v>
      </c>
      <c r="BD19">
        <v>2</v>
      </c>
      <c r="BE19">
        <v>3</v>
      </c>
      <c r="BF19" t="s">
        <v>111</v>
      </c>
      <c r="BG19">
        <v>3</v>
      </c>
      <c r="BH19">
        <v>4</v>
      </c>
      <c r="BI19" t="s">
        <v>99</v>
      </c>
      <c r="BJ19">
        <v>4</v>
      </c>
      <c r="BK19" t="s">
        <v>99</v>
      </c>
      <c r="BL19" t="s">
        <v>99</v>
      </c>
      <c r="BM19" t="s">
        <v>99</v>
      </c>
      <c r="BN19" t="s">
        <v>99</v>
      </c>
      <c r="BP19">
        <v>294.91000000000003</v>
      </c>
      <c r="BQ19">
        <v>143.25</v>
      </c>
      <c r="CD19">
        <v>151.66</v>
      </c>
    </row>
    <row r="20" spans="1:82" x14ac:dyDescent="0.35">
      <c r="A20">
        <v>229</v>
      </c>
      <c r="B20" t="s">
        <v>207</v>
      </c>
      <c r="C20">
        <v>2</v>
      </c>
      <c r="D20" t="s">
        <v>89</v>
      </c>
      <c r="E20">
        <v>958942524</v>
      </c>
      <c r="F20" t="s">
        <v>208</v>
      </c>
      <c r="G20" t="s">
        <v>207</v>
      </c>
      <c r="H20" t="s">
        <v>93</v>
      </c>
      <c r="I20" t="s">
        <v>94</v>
      </c>
      <c r="J20" t="s">
        <v>94</v>
      </c>
      <c r="K20" t="s">
        <v>94</v>
      </c>
      <c r="L20" t="s">
        <v>93</v>
      </c>
      <c r="M20" t="s">
        <v>93</v>
      </c>
      <c r="O20" t="s">
        <v>93</v>
      </c>
      <c r="Q20" t="s">
        <v>96</v>
      </c>
      <c r="R20" t="s">
        <v>105</v>
      </c>
      <c r="S20" t="s">
        <v>93</v>
      </c>
      <c r="T20" t="s">
        <v>93</v>
      </c>
      <c r="U20" t="s">
        <v>93</v>
      </c>
      <c r="V20" t="s">
        <v>93</v>
      </c>
      <c r="W20" t="s">
        <v>93</v>
      </c>
      <c r="X20" t="s">
        <v>93</v>
      </c>
      <c r="Y20" t="s">
        <v>93</v>
      </c>
      <c r="AA20" t="s">
        <v>128</v>
      </c>
      <c r="AB20" t="s">
        <v>107</v>
      </c>
      <c r="AC20" t="s">
        <v>106</v>
      </c>
      <c r="AD20">
        <v>4</v>
      </c>
      <c r="AE20" t="s">
        <v>108</v>
      </c>
      <c r="AF20" t="s">
        <v>121</v>
      </c>
      <c r="AG20" t="s">
        <v>108</v>
      </c>
      <c r="AI20" t="s">
        <v>109</v>
      </c>
      <c r="AJ20" t="s">
        <v>130</v>
      </c>
      <c r="AK20">
        <v>4</v>
      </c>
      <c r="AL20">
        <v>2</v>
      </c>
      <c r="AM20" t="s">
        <v>110</v>
      </c>
      <c r="AN20">
        <v>2</v>
      </c>
      <c r="AO20">
        <v>3</v>
      </c>
      <c r="AP20">
        <v>4</v>
      </c>
      <c r="AQ20">
        <v>4</v>
      </c>
      <c r="AR20">
        <v>4</v>
      </c>
      <c r="AS20">
        <v>4</v>
      </c>
      <c r="AT20">
        <v>2</v>
      </c>
      <c r="AU20">
        <v>4</v>
      </c>
      <c r="AV20" t="s">
        <v>98</v>
      </c>
      <c r="AW20" t="s">
        <v>111</v>
      </c>
      <c r="AX20">
        <v>3</v>
      </c>
      <c r="AY20">
        <v>2</v>
      </c>
      <c r="AZ20" t="s">
        <v>98</v>
      </c>
      <c r="BA20" t="s">
        <v>98</v>
      </c>
      <c r="BB20">
        <v>4</v>
      </c>
      <c r="BC20" t="s">
        <v>98</v>
      </c>
      <c r="BD20">
        <v>4</v>
      </c>
      <c r="BE20">
        <v>3</v>
      </c>
      <c r="BF20">
        <v>4</v>
      </c>
      <c r="BG20">
        <v>3</v>
      </c>
      <c r="BH20">
        <v>3</v>
      </c>
      <c r="BI20" t="s">
        <v>99</v>
      </c>
      <c r="BJ20">
        <v>3</v>
      </c>
      <c r="BK20" t="s">
        <v>99</v>
      </c>
      <c r="BL20">
        <v>3</v>
      </c>
      <c r="BM20">
        <v>2</v>
      </c>
      <c r="BN20">
        <v>2</v>
      </c>
      <c r="BO20" t="s">
        <v>211</v>
      </c>
      <c r="BP20">
        <v>633.76</v>
      </c>
      <c r="BQ20">
        <v>145.21</v>
      </c>
      <c r="CD20">
        <v>488.55</v>
      </c>
    </row>
    <row r="21" spans="1:82" x14ac:dyDescent="0.35">
      <c r="A21">
        <v>230</v>
      </c>
      <c r="B21" t="s">
        <v>212</v>
      </c>
      <c r="C21">
        <v>2</v>
      </c>
      <c r="D21" t="s">
        <v>89</v>
      </c>
      <c r="E21">
        <v>1767381198</v>
      </c>
      <c r="F21" t="s">
        <v>213</v>
      </c>
      <c r="G21" t="s">
        <v>212</v>
      </c>
      <c r="H21" t="s">
        <v>93</v>
      </c>
      <c r="I21" t="s">
        <v>94</v>
      </c>
      <c r="J21" t="s">
        <v>94</v>
      </c>
      <c r="K21" t="s">
        <v>94</v>
      </c>
      <c r="L21" t="s">
        <v>94</v>
      </c>
      <c r="M21" t="s">
        <v>94</v>
      </c>
      <c r="O21" t="s">
        <v>94</v>
      </c>
      <c r="P21" t="s">
        <v>216</v>
      </c>
      <c r="Q21" t="s">
        <v>120</v>
      </c>
      <c r="S21" t="s">
        <v>93</v>
      </c>
      <c r="T21" t="s">
        <v>93</v>
      </c>
      <c r="U21" t="s">
        <v>94</v>
      </c>
      <c r="V21" t="s">
        <v>93</v>
      </c>
      <c r="W21" t="s">
        <v>93</v>
      </c>
      <c r="X21" t="s">
        <v>94</v>
      </c>
      <c r="Y21" t="s">
        <v>93</v>
      </c>
      <c r="AI21" t="s">
        <v>97</v>
      </c>
      <c r="AJ21" t="s">
        <v>130</v>
      </c>
      <c r="AK21" t="s">
        <v>130</v>
      </c>
      <c r="AL21">
        <v>3</v>
      </c>
      <c r="AM21">
        <v>3</v>
      </c>
      <c r="AN21" t="s">
        <v>98</v>
      </c>
      <c r="AO21" t="s">
        <v>98</v>
      </c>
      <c r="AP21">
        <v>3</v>
      </c>
      <c r="AQ21">
        <v>2</v>
      </c>
      <c r="AR21">
        <v>4</v>
      </c>
      <c r="AS21">
        <v>4</v>
      </c>
      <c r="AT21">
        <v>4</v>
      </c>
      <c r="AU21" t="s">
        <v>111</v>
      </c>
      <c r="AV21">
        <v>4</v>
      </c>
      <c r="AW21" t="s">
        <v>98</v>
      </c>
      <c r="AX21" t="s">
        <v>98</v>
      </c>
      <c r="AY21" t="s">
        <v>98</v>
      </c>
      <c r="AZ21" t="s">
        <v>98</v>
      </c>
      <c r="BA21" t="s">
        <v>98</v>
      </c>
      <c r="BB21" t="s">
        <v>111</v>
      </c>
      <c r="BC21" t="s">
        <v>111</v>
      </c>
      <c r="BD21">
        <v>4</v>
      </c>
      <c r="BE21" t="s">
        <v>98</v>
      </c>
      <c r="BF21">
        <v>3</v>
      </c>
      <c r="BG21" t="s">
        <v>111</v>
      </c>
      <c r="BH21" t="s">
        <v>99</v>
      </c>
      <c r="BI21" t="s">
        <v>99</v>
      </c>
      <c r="BJ21" t="s">
        <v>99</v>
      </c>
      <c r="BK21" t="s">
        <v>99</v>
      </c>
      <c r="BL21" t="s">
        <v>99</v>
      </c>
      <c r="BM21">
        <v>2</v>
      </c>
      <c r="BN21" t="s">
        <v>99</v>
      </c>
      <c r="BP21">
        <v>176.56</v>
      </c>
      <c r="BQ21">
        <v>56.09</v>
      </c>
      <c r="CD21">
        <v>120.47</v>
      </c>
    </row>
    <row r="22" spans="1:82" x14ac:dyDescent="0.35">
      <c r="A22">
        <v>231</v>
      </c>
      <c r="B22" t="s">
        <v>217</v>
      </c>
      <c r="C22">
        <v>2</v>
      </c>
      <c r="D22" t="s">
        <v>89</v>
      </c>
      <c r="E22">
        <v>123587013</v>
      </c>
      <c r="F22" t="s">
        <v>218</v>
      </c>
      <c r="G22" t="s">
        <v>217</v>
      </c>
      <c r="H22" t="s">
        <v>93</v>
      </c>
      <c r="I22" t="s">
        <v>94</v>
      </c>
      <c r="J22" t="s">
        <v>94</v>
      </c>
      <c r="K22" t="s">
        <v>93</v>
      </c>
      <c r="L22" t="s">
        <v>93</v>
      </c>
      <c r="M22" t="s">
        <v>94</v>
      </c>
      <c r="O22" t="s">
        <v>93</v>
      </c>
      <c r="Q22" t="s">
        <v>96</v>
      </c>
      <c r="R22" t="s">
        <v>93</v>
      </c>
      <c r="S22" t="s">
        <v>93</v>
      </c>
      <c r="T22" t="s">
        <v>93</v>
      </c>
      <c r="U22" t="s">
        <v>93</v>
      </c>
      <c r="V22" t="s">
        <v>93</v>
      </c>
      <c r="W22" t="s">
        <v>93</v>
      </c>
      <c r="X22" t="s">
        <v>93</v>
      </c>
      <c r="Y22" t="s">
        <v>93</v>
      </c>
      <c r="AA22" t="s">
        <v>107</v>
      </c>
      <c r="AB22" t="s">
        <v>106</v>
      </c>
      <c r="AC22" t="s">
        <v>107</v>
      </c>
      <c r="AD22" t="s">
        <v>121</v>
      </c>
      <c r="AE22" t="s">
        <v>121</v>
      </c>
      <c r="AF22" t="s">
        <v>121</v>
      </c>
      <c r="AG22" t="s">
        <v>108</v>
      </c>
      <c r="AI22" t="s">
        <v>97</v>
      </c>
      <c r="AJ22" t="s">
        <v>130</v>
      </c>
      <c r="AK22">
        <v>2</v>
      </c>
      <c r="AL22">
        <v>3</v>
      </c>
      <c r="AM22" t="s">
        <v>110</v>
      </c>
      <c r="AN22" t="s">
        <v>98</v>
      </c>
      <c r="AO22" t="s">
        <v>98</v>
      </c>
      <c r="AP22">
        <v>3</v>
      </c>
      <c r="AQ22">
        <v>2</v>
      </c>
      <c r="AR22">
        <v>3</v>
      </c>
      <c r="AS22">
        <v>2</v>
      </c>
      <c r="AT22">
        <v>4</v>
      </c>
      <c r="AU22" t="s">
        <v>98</v>
      </c>
      <c r="AV22">
        <v>4</v>
      </c>
      <c r="AW22">
        <v>3</v>
      </c>
      <c r="AX22" t="s">
        <v>98</v>
      </c>
      <c r="AY22" t="s">
        <v>98</v>
      </c>
      <c r="AZ22" t="s">
        <v>98</v>
      </c>
      <c r="BA22" t="s">
        <v>98</v>
      </c>
      <c r="BB22">
        <v>2</v>
      </c>
      <c r="BC22">
        <v>3</v>
      </c>
      <c r="BD22">
        <v>3</v>
      </c>
      <c r="BE22">
        <v>4</v>
      </c>
      <c r="BF22">
        <v>3</v>
      </c>
      <c r="BG22">
        <v>3</v>
      </c>
      <c r="BH22">
        <v>2</v>
      </c>
      <c r="BI22">
        <v>4</v>
      </c>
      <c r="BJ22">
        <v>4</v>
      </c>
      <c r="BK22" t="s">
        <v>99</v>
      </c>
      <c r="BL22">
        <v>4</v>
      </c>
      <c r="BM22">
        <v>3</v>
      </c>
      <c r="BN22">
        <v>4</v>
      </c>
      <c r="BP22">
        <v>202.93</v>
      </c>
      <c r="BQ22">
        <v>88.37</v>
      </c>
      <c r="CD22">
        <v>114.56</v>
      </c>
    </row>
    <row r="23" spans="1:82" x14ac:dyDescent="0.35">
      <c r="A23">
        <v>232</v>
      </c>
      <c r="B23" t="s">
        <v>221</v>
      </c>
      <c r="C23">
        <v>2</v>
      </c>
      <c r="D23" t="s">
        <v>89</v>
      </c>
      <c r="E23">
        <v>89146958</v>
      </c>
      <c r="F23" t="s">
        <v>222</v>
      </c>
      <c r="G23" t="s">
        <v>221</v>
      </c>
      <c r="H23" t="s">
        <v>93</v>
      </c>
      <c r="I23" t="s">
        <v>94</v>
      </c>
      <c r="J23" t="s">
        <v>93</v>
      </c>
      <c r="K23" t="s">
        <v>94</v>
      </c>
      <c r="L23" t="s">
        <v>93</v>
      </c>
      <c r="M23" t="s">
        <v>94</v>
      </c>
      <c r="O23" t="s">
        <v>94</v>
      </c>
      <c r="P23" t="s">
        <v>225</v>
      </c>
      <c r="Q23" t="s">
        <v>96</v>
      </c>
      <c r="S23" t="s">
        <v>93</v>
      </c>
      <c r="T23" t="s">
        <v>94</v>
      </c>
      <c r="U23" t="s">
        <v>94</v>
      </c>
      <c r="V23" t="s">
        <v>93</v>
      </c>
      <c r="W23" t="s">
        <v>93</v>
      </c>
      <c r="X23" t="s">
        <v>94</v>
      </c>
      <c r="Y23" t="s">
        <v>94</v>
      </c>
      <c r="Z23" t="s">
        <v>226</v>
      </c>
      <c r="AI23" t="s">
        <v>158</v>
      </c>
      <c r="AJ23">
        <v>4</v>
      </c>
      <c r="AK23">
        <v>4</v>
      </c>
      <c r="AL23">
        <v>4</v>
      </c>
      <c r="AM23" t="s">
        <v>110</v>
      </c>
      <c r="AN23">
        <v>3</v>
      </c>
      <c r="AO23">
        <v>4</v>
      </c>
      <c r="AP23">
        <v>2</v>
      </c>
      <c r="AQ23" t="s">
        <v>98</v>
      </c>
      <c r="AR23" t="s">
        <v>111</v>
      </c>
      <c r="AS23" t="s">
        <v>111</v>
      </c>
      <c r="AT23">
        <v>3</v>
      </c>
      <c r="AU23">
        <v>4</v>
      </c>
      <c r="AV23">
        <v>3</v>
      </c>
      <c r="AW23">
        <v>4</v>
      </c>
      <c r="AX23">
        <v>4</v>
      </c>
      <c r="AY23" t="s">
        <v>98</v>
      </c>
      <c r="AZ23">
        <v>3</v>
      </c>
      <c r="BA23">
        <v>4</v>
      </c>
      <c r="BB23">
        <v>3</v>
      </c>
      <c r="BC23">
        <v>4</v>
      </c>
      <c r="BD23">
        <v>4</v>
      </c>
      <c r="BE23" t="s">
        <v>98</v>
      </c>
      <c r="BF23">
        <v>3</v>
      </c>
      <c r="BG23" t="s">
        <v>98</v>
      </c>
      <c r="BH23">
        <v>3</v>
      </c>
      <c r="BI23">
        <v>4</v>
      </c>
      <c r="BJ23">
        <v>4</v>
      </c>
      <c r="BK23">
        <v>4</v>
      </c>
      <c r="BL23">
        <v>3</v>
      </c>
      <c r="BM23">
        <v>3</v>
      </c>
      <c r="BN23">
        <v>4</v>
      </c>
      <c r="BP23">
        <v>190.88</v>
      </c>
      <c r="BQ23">
        <v>86.52</v>
      </c>
      <c r="CD23">
        <v>104.36</v>
      </c>
    </row>
    <row r="24" spans="1:82" x14ac:dyDescent="0.35">
      <c r="A24">
        <v>233</v>
      </c>
      <c r="B24" t="s">
        <v>227</v>
      </c>
      <c r="C24">
        <v>2</v>
      </c>
      <c r="D24" t="s">
        <v>89</v>
      </c>
      <c r="E24">
        <v>1159008621</v>
      </c>
      <c r="F24" t="s">
        <v>228</v>
      </c>
      <c r="G24" t="s">
        <v>227</v>
      </c>
      <c r="H24" t="s">
        <v>93</v>
      </c>
      <c r="I24" t="s">
        <v>94</v>
      </c>
      <c r="J24" t="s">
        <v>93</v>
      </c>
      <c r="K24" t="s">
        <v>94</v>
      </c>
      <c r="L24" t="s">
        <v>94</v>
      </c>
      <c r="M24" t="s">
        <v>94</v>
      </c>
      <c r="O24" t="s">
        <v>93</v>
      </c>
      <c r="Q24" t="s">
        <v>120</v>
      </c>
      <c r="R24" t="s">
        <v>105</v>
      </c>
      <c r="S24" t="s">
        <v>94</v>
      </c>
      <c r="T24" t="s">
        <v>94</v>
      </c>
      <c r="U24" t="s">
        <v>94</v>
      </c>
      <c r="V24" t="s">
        <v>94</v>
      </c>
      <c r="W24" t="s">
        <v>93</v>
      </c>
      <c r="X24" t="s">
        <v>93</v>
      </c>
      <c r="Y24" t="s">
        <v>94</v>
      </c>
      <c r="Z24" t="s">
        <v>231</v>
      </c>
      <c r="AA24" t="s">
        <v>106</v>
      </c>
      <c r="AB24" t="s">
        <v>106</v>
      </c>
      <c r="AC24" t="s">
        <v>106</v>
      </c>
      <c r="AD24">
        <v>3</v>
      </c>
      <c r="AE24" t="s">
        <v>108</v>
      </c>
      <c r="AF24">
        <v>3</v>
      </c>
      <c r="AG24">
        <v>3</v>
      </c>
      <c r="AI24" t="s">
        <v>97</v>
      </c>
      <c r="AJ24">
        <v>2</v>
      </c>
      <c r="AK24">
        <v>3</v>
      </c>
      <c r="AL24">
        <v>4</v>
      </c>
      <c r="AM24" t="s">
        <v>110</v>
      </c>
      <c r="AN24">
        <v>3</v>
      </c>
      <c r="AO24">
        <v>4</v>
      </c>
      <c r="AP24">
        <v>2</v>
      </c>
      <c r="AQ24">
        <v>2</v>
      </c>
      <c r="AR24">
        <v>2</v>
      </c>
      <c r="AS24">
        <v>2</v>
      </c>
      <c r="AT24" t="s">
        <v>111</v>
      </c>
      <c r="AU24" t="s">
        <v>111</v>
      </c>
      <c r="AV24">
        <v>3</v>
      </c>
      <c r="AW24">
        <v>3</v>
      </c>
      <c r="AX24">
        <v>3</v>
      </c>
      <c r="AY24">
        <v>4</v>
      </c>
      <c r="AZ24">
        <v>4</v>
      </c>
      <c r="BA24">
        <v>4</v>
      </c>
      <c r="BB24" t="s">
        <v>111</v>
      </c>
      <c r="BC24" t="s">
        <v>111</v>
      </c>
      <c r="BD24">
        <v>2</v>
      </c>
      <c r="BE24">
        <v>2</v>
      </c>
      <c r="BF24">
        <v>4</v>
      </c>
      <c r="BG24">
        <v>4</v>
      </c>
      <c r="BH24">
        <v>3</v>
      </c>
      <c r="BI24">
        <v>2</v>
      </c>
      <c r="BJ24">
        <v>3</v>
      </c>
      <c r="BK24">
        <v>3</v>
      </c>
      <c r="BL24">
        <v>3</v>
      </c>
      <c r="BM24">
        <v>3</v>
      </c>
      <c r="BN24">
        <v>4</v>
      </c>
      <c r="BP24">
        <v>1622.14</v>
      </c>
      <c r="BQ24">
        <v>1502.09</v>
      </c>
      <c r="CD24">
        <v>120.05</v>
      </c>
    </row>
    <row r="25" spans="1:82" x14ac:dyDescent="0.35">
      <c r="A25">
        <v>234</v>
      </c>
      <c r="B25" t="s">
        <v>232</v>
      </c>
      <c r="C25">
        <v>2</v>
      </c>
      <c r="D25" t="s">
        <v>89</v>
      </c>
      <c r="E25">
        <v>1665992331</v>
      </c>
      <c r="F25" t="s">
        <v>233</v>
      </c>
      <c r="G25" t="s">
        <v>232</v>
      </c>
      <c r="H25" t="s">
        <v>93</v>
      </c>
      <c r="I25" t="s">
        <v>94</v>
      </c>
      <c r="J25" t="s">
        <v>93</v>
      </c>
      <c r="K25" t="s">
        <v>94</v>
      </c>
      <c r="L25" t="s">
        <v>94</v>
      </c>
      <c r="M25" t="s">
        <v>94</v>
      </c>
      <c r="O25" t="s">
        <v>94</v>
      </c>
      <c r="P25" t="s">
        <v>236</v>
      </c>
      <c r="Q25" t="s">
        <v>120</v>
      </c>
      <c r="S25" t="s">
        <v>93</v>
      </c>
      <c r="T25" t="s">
        <v>93</v>
      </c>
      <c r="U25" t="s">
        <v>94</v>
      </c>
      <c r="V25" t="s">
        <v>94</v>
      </c>
      <c r="W25" t="s">
        <v>93</v>
      </c>
      <c r="X25" t="s">
        <v>93</v>
      </c>
      <c r="Y25" t="s">
        <v>94</v>
      </c>
      <c r="Z25" t="s">
        <v>237</v>
      </c>
      <c r="AI25" t="s">
        <v>158</v>
      </c>
      <c r="AJ25">
        <v>2</v>
      </c>
      <c r="AK25">
        <v>3</v>
      </c>
      <c r="AL25">
        <v>4</v>
      </c>
      <c r="AM25">
        <v>3</v>
      </c>
      <c r="AN25" t="s">
        <v>98</v>
      </c>
      <c r="AO25" t="s">
        <v>98</v>
      </c>
      <c r="AP25">
        <v>3</v>
      </c>
      <c r="AQ25">
        <v>2</v>
      </c>
      <c r="AR25">
        <v>2</v>
      </c>
      <c r="AS25" t="s">
        <v>111</v>
      </c>
      <c r="AT25">
        <v>3</v>
      </c>
      <c r="AU25" t="s">
        <v>98</v>
      </c>
      <c r="AV25">
        <v>3</v>
      </c>
      <c r="AW25" t="s">
        <v>111</v>
      </c>
      <c r="AX25">
        <v>4</v>
      </c>
      <c r="AY25" t="s">
        <v>98</v>
      </c>
      <c r="AZ25">
        <v>4</v>
      </c>
      <c r="BA25">
        <v>2</v>
      </c>
      <c r="BB25">
        <v>3</v>
      </c>
      <c r="BC25">
        <v>3</v>
      </c>
      <c r="BD25" t="s">
        <v>98</v>
      </c>
      <c r="BE25">
        <v>3</v>
      </c>
      <c r="BF25" t="s">
        <v>98</v>
      </c>
      <c r="BG25">
        <v>4</v>
      </c>
      <c r="BH25">
        <v>3</v>
      </c>
      <c r="BI25">
        <v>2</v>
      </c>
      <c r="BJ25">
        <v>4</v>
      </c>
      <c r="BK25">
        <v>4</v>
      </c>
      <c r="BL25" t="s">
        <v>112</v>
      </c>
      <c r="BM25">
        <v>3</v>
      </c>
      <c r="BN25">
        <v>2</v>
      </c>
      <c r="BP25">
        <v>249.34</v>
      </c>
      <c r="BQ25">
        <v>105.03</v>
      </c>
      <c r="CD25">
        <v>144.31</v>
      </c>
    </row>
    <row r="26" spans="1:82" x14ac:dyDescent="0.35">
      <c r="A26">
        <v>235</v>
      </c>
      <c r="B26" t="s">
        <v>238</v>
      </c>
      <c r="C26">
        <v>2</v>
      </c>
      <c r="D26" t="s">
        <v>89</v>
      </c>
      <c r="E26">
        <v>627708261</v>
      </c>
      <c r="F26" t="s">
        <v>239</v>
      </c>
      <c r="G26" t="s">
        <v>238</v>
      </c>
      <c r="H26" t="s">
        <v>93</v>
      </c>
      <c r="I26" t="s">
        <v>94</v>
      </c>
      <c r="J26" t="s">
        <v>94</v>
      </c>
      <c r="K26" t="s">
        <v>94</v>
      </c>
      <c r="L26" t="s">
        <v>94</v>
      </c>
      <c r="M26" t="s">
        <v>93</v>
      </c>
      <c r="O26" t="s">
        <v>93</v>
      </c>
      <c r="Q26" t="s">
        <v>143</v>
      </c>
      <c r="R26" t="s">
        <v>105</v>
      </c>
      <c r="S26" t="s">
        <v>94</v>
      </c>
      <c r="T26" t="s">
        <v>94</v>
      </c>
      <c r="U26" t="s">
        <v>94</v>
      </c>
      <c r="V26" t="s">
        <v>94</v>
      </c>
      <c r="W26" t="s">
        <v>93</v>
      </c>
      <c r="X26" t="s">
        <v>93</v>
      </c>
      <c r="Y26" t="s">
        <v>94</v>
      </c>
      <c r="AA26" t="s">
        <v>108</v>
      </c>
      <c r="AB26" t="s">
        <v>108</v>
      </c>
      <c r="AC26" t="s">
        <v>128</v>
      </c>
      <c r="AD26">
        <v>4</v>
      </c>
      <c r="AE26" t="s">
        <v>108</v>
      </c>
      <c r="AF26" t="s">
        <v>108</v>
      </c>
      <c r="AG26">
        <v>4</v>
      </c>
      <c r="AI26" t="s">
        <v>97</v>
      </c>
      <c r="AJ26" t="s">
        <v>130</v>
      </c>
      <c r="AK26">
        <v>2</v>
      </c>
      <c r="AL26">
        <v>3</v>
      </c>
      <c r="AM26">
        <v>4</v>
      </c>
      <c r="AN26">
        <v>3</v>
      </c>
      <c r="AO26">
        <v>4</v>
      </c>
      <c r="AP26">
        <v>4</v>
      </c>
      <c r="AQ26">
        <v>3</v>
      </c>
      <c r="AR26">
        <v>2</v>
      </c>
      <c r="AS26">
        <v>2</v>
      </c>
      <c r="AT26">
        <v>3</v>
      </c>
      <c r="AU26">
        <v>2</v>
      </c>
      <c r="AV26">
        <v>4</v>
      </c>
      <c r="AW26" t="s">
        <v>98</v>
      </c>
      <c r="AX26">
        <v>3</v>
      </c>
      <c r="AY26">
        <v>3</v>
      </c>
      <c r="AZ26" t="s">
        <v>98</v>
      </c>
      <c r="BA26">
        <v>4</v>
      </c>
      <c r="BB26">
        <v>3</v>
      </c>
      <c r="BC26">
        <v>3</v>
      </c>
      <c r="BD26">
        <v>2</v>
      </c>
      <c r="BE26">
        <v>3</v>
      </c>
      <c r="BF26" t="s">
        <v>98</v>
      </c>
      <c r="BG26">
        <v>4</v>
      </c>
      <c r="BH26">
        <v>4</v>
      </c>
      <c r="BI26">
        <v>3</v>
      </c>
      <c r="BJ26">
        <v>4</v>
      </c>
      <c r="BK26">
        <v>4</v>
      </c>
      <c r="BL26" t="s">
        <v>99</v>
      </c>
      <c r="BM26">
        <v>3</v>
      </c>
      <c r="BN26">
        <v>4</v>
      </c>
      <c r="BP26">
        <v>724.79</v>
      </c>
      <c r="BQ26">
        <v>184.78</v>
      </c>
      <c r="CD26">
        <v>540.01</v>
      </c>
    </row>
    <row r="27" spans="1:82" x14ac:dyDescent="0.35">
      <c r="A27">
        <v>236</v>
      </c>
      <c r="B27" t="s">
        <v>242</v>
      </c>
      <c r="C27">
        <v>2</v>
      </c>
      <c r="D27" t="s">
        <v>89</v>
      </c>
      <c r="E27">
        <v>385575697</v>
      </c>
      <c r="F27" t="s">
        <v>243</v>
      </c>
      <c r="G27" t="s">
        <v>242</v>
      </c>
      <c r="H27" t="s">
        <v>93</v>
      </c>
      <c r="I27" t="s">
        <v>94</v>
      </c>
      <c r="J27" t="s">
        <v>94</v>
      </c>
      <c r="K27" t="s">
        <v>94</v>
      </c>
      <c r="L27" t="s">
        <v>93</v>
      </c>
      <c r="M27" t="s">
        <v>93</v>
      </c>
      <c r="O27" t="s">
        <v>94</v>
      </c>
      <c r="P27" t="s">
        <v>246</v>
      </c>
      <c r="Q27" t="s">
        <v>96</v>
      </c>
      <c r="S27" t="s">
        <v>94</v>
      </c>
      <c r="T27" t="s">
        <v>94</v>
      </c>
      <c r="U27" t="s">
        <v>93</v>
      </c>
      <c r="V27" t="s">
        <v>94</v>
      </c>
      <c r="W27" t="s">
        <v>94</v>
      </c>
      <c r="X27" t="s">
        <v>93</v>
      </c>
      <c r="Y27" t="s">
        <v>94</v>
      </c>
      <c r="Z27" t="s">
        <v>247</v>
      </c>
      <c r="AI27" t="s">
        <v>97</v>
      </c>
      <c r="AJ27" t="s">
        <v>130</v>
      </c>
      <c r="AK27" t="s">
        <v>130</v>
      </c>
      <c r="AL27" t="s">
        <v>110</v>
      </c>
      <c r="AM27">
        <v>3</v>
      </c>
      <c r="AN27" t="s">
        <v>98</v>
      </c>
      <c r="AO27" t="s">
        <v>98</v>
      </c>
      <c r="AP27">
        <v>2</v>
      </c>
      <c r="AQ27">
        <v>2</v>
      </c>
      <c r="AR27">
        <v>3</v>
      </c>
      <c r="AS27">
        <v>3</v>
      </c>
      <c r="AT27" t="s">
        <v>98</v>
      </c>
      <c r="AU27" t="s">
        <v>98</v>
      </c>
      <c r="AV27">
        <v>4</v>
      </c>
      <c r="AW27" t="s">
        <v>98</v>
      </c>
      <c r="AX27">
        <v>4</v>
      </c>
      <c r="AY27" t="s">
        <v>98</v>
      </c>
      <c r="AZ27">
        <v>4</v>
      </c>
      <c r="BA27" t="s">
        <v>98</v>
      </c>
      <c r="BB27">
        <v>3</v>
      </c>
      <c r="BC27" t="s">
        <v>98</v>
      </c>
      <c r="BD27">
        <v>2</v>
      </c>
      <c r="BE27">
        <v>3</v>
      </c>
      <c r="BF27">
        <v>4</v>
      </c>
      <c r="BG27" t="s">
        <v>98</v>
      </c>
      <c r="BH27">
        <v>4</v>
      </c>
      <c r="BI27" t="s">
        <v>99</v>
      </c>
      <c r="BJ27">
        <v>4</v>
      </c>
      <c r="BK27" t="s">
        <v>99</v>
      </c>
      <c r="BL27">
        <v>3</v>
      </c>
      <c r="BM27" t="s">
        <v>99</v>
      </c>
      <c r="BN27" t="s">
        <v>99</v>
      </c>
      <c r="BO27" t="s">
        <v>248</v>
      </c>
      <c r="BP27">
        <v>404.44</v>
      </c>
      <c r="BQ27">
        <v>141.72999999999999</v>
      </c>
      <c r="CD27">
        <v>262.70999999999998</v>
      </c>
    </row>
    <row r="28" spans="1:82" x14ac:dyDescent="0.35">
      <c r="A28">
        <v>238</v>
      </c>
      <c r="B28" t="s">
        <v>250</v>
      </c>
      <c r="C28">
        <v>2</v>
      </c>
      <c r="D28" t="s">
        <v>89</v>
      </c>
      <c r="E28">
        <v>1651794708</v>
      </c>
      <c r="F28" t="s">
        <v>251</v>
      </c>
      <c r="G28" t="s">
        <v>250</v>
      </c>
      <c r="H28" t="s">
        <v>93</v>
      </c>
      <c r="I28" t="s">
        <v>94</v>
      </c>
      <c r="J28" t="s">
        <v>93</v>
      </c>
      <c r="K28" t="s">
        <v>94</v>
      </c>
      <c r="L28" t="s">
        <v>93</v>
      </c>
      <c r="M28" t="s">
        <v>94</v>
      </c>
      <c r="O28" t="s">
        <v>93</v>
      </c>
      <c r="Q28" t="s">
        <v>96</v>
      </c>
      <c r="R28" t="s">
        <v>105</v>
      </c>
      <c r="S28" t="s">
        <v>94</v>
      </c>
      <c r="T28" t="s">
        <v>94</v>
      </c>
      <c r="U28" t="s">
        <v>94</v>
      </c>
      <c r="V28" t="s">
        <v>94</v>
      </c>
      <c r="W28" t="s">
        <v>93</v>
      </c>
      <c r="X28" t="s">
        <v>93</v>
      </c>
      <c r="Y28" t="s">
        <v>93</v>
      </c>
      <c r="AA28" t="s">
        <v>107</v>
      </c>
      <c r="AB28" t="s">
        <v>107</v>
      </c>
      <c r="AC28" t="s">
        <v>106</v>
      </c>
      <c r="AD28">
        <v>4</v>
      </c>
      <c r="AE28">
        <v>4</v>
      </c>
      <c r="AF28">
        <v>4</v>
      </c>
      <c r="AG28" t="s">
        <v>108</v>
      </c>
      <c r="AI28" t="s">
        <v>109</v>
      </c>
      <c r="AJ28">
        <v>4</v>
      </c>
      <c r="AK28">
        <v>4</v>
      </c>
      <c r="AL28" t="s">
        <v>110</v>
      </c>
      <c r="AM28" t="s">
        <v>110</v>
      </c>
      <c r="AN28">
        <v>3</v>
      </c>
      <c r="AO28">
        <v>3</v>
      </c>
      <c r="AP28">
        <v>2</v>
      </c>
      <c r="AQ28">
        <v>3</v>
      </c>
      <c r="AR28">
        <v>2</v>
      </c>
      <c r="AS28">
        <v>2</v>
      </c>
      <c r="AT28">
        <v>2</v>
      </c>
      <c r="AU28" t="s">
        <v>111</v>
      </c>
      <c r="AV28">
        <v>3</v>
      </c>
      <c r="AW28">
        <v>2</v>
      </c>
      <c r="AX28">
        <v>3</v>
      </c>
      <c r="AY28">
        <v>2</v>
      </c>
      <c r="AZ28">
        <v>3</v>
      </c>
      <c r="BA28">
        <v>2</v>
      </c>
      <c r="BB28">
        <v>3</v>
      </c>
      <c r="BC28">
        <v>2</v>
      </c>
      <c r="BD28">
        <v>3</v>
      </c>
      <c r="BE28">
        <v>2</v>
      </c>
      <c r="BF28">
        <v>3</v>
      </c>
      <c r="BG28">
        <v>2</v>
      </c>
      <c r="BH28" t="s">
        <v>112</v>
      </c>
      <c r="BI28">
        <v>3</v>
      </c>
      <c r="BJ28">
        <v>2</v>
      </c>
      <c r="BK28">
        <v>3</v>
      </c>
      <c r="BL28">
        <v>3</v>
      </c>
      <c r="BM28">
        <v>3</v>
      </c>
      <c r="BN28">
        <v>4</v>
      </c>
      <c r="BP28">
        <v>234.02</v>
      </c>
      <c r="BQ28">
        <v>109.91</v>
      </c>
      <c r="CD28">
        <v>124.11</v>
      </c>
    </row>
    <row r="29" spans="1:82" x14ac:dyDescent="0.35">
      <c r="A29">
        <v>240</v>
      </c>
      <c r="B29" t="s">
        <v>255</v>
      </c>
      <c r="C29">
        <v>2</v>
      </c>
      <c r="D29" t="s">
        <v>89</v>
      </c>
      <c r="E29">
        <v>1776548191</v>
      </c>
      <c r="F29" t="s">
        <v>256</v>
      </c>
      <c r="G29" t="s">
        <v>255</v>
      </c>
      <c r="H29" t="s">
        <v>93</v>
      </c>
      <c r="I29" t="s">
        <v>94</v>
      </c>
      <c r="J29" t="s">
        <v>94</v>
      </c>
      <c r="K29" t="s">
        <v>94</v>
      </c>
      <c r="L29" t="s">
        <v>94</v>
      </c>
      <c r="M29" t="s">
        <v>94</v>
      </c>
      <c r="O29" t="s">
        <v>93</v>
      </c>
      <c r="Q29" t="s">
        <v>143</v>
      </c>
      <c r="R29" t="s">
        <v>94</v>
      </c>
      <c r="S29" t="s">
        <v>94</v>
      </c>
      <c r="T29" t="s">
        <v>94</v>
      </c>
      <c r="U29" t="s">
        <v>94</v>
      </c>
      <c r="V29" t="s">
        <v>94</v>
      </c>
      <c r="W29" t="s">
        <v>94</v>
      </c>
      <c r="X29" t="s">
        <v>94</v>
      </c>
      <c r="Y29" t="s">
        <v>94</v>
      </c>
      <c r="Z29" t="s">
        <v>259</v>
      </c>
      <c r="AA29" t="s">
        <v>128</v>
      </c>
      <c r="AB29" t="s">
        <v>128</v>
      </c>
      <c r="AC29" t="s">
        <v>128</v>
      </c>
      <c r="AD29" t="s">
        <v>108</v>
      </c>
      <c r="AE29" t="s">
        <v>108</v>
      </c>
      <c r="AF29">
        <v>2</v>
      </c>
      <c r="AG29" t="s">
        <v>108</v>
      </c>
      <c r="AH29" t="s">
        <v>260</v>
      </c>
      <c r="AI29" t="s">
        <v>158</v>
      </c>
      <c r="AJ29">
        <v>3</v>
      </c>
      <c r="AK29">
        <v>2</v>
      </c>
      <c r="AL29" t="s">
        <v>130</v>
      </c>
      <c r="AM29" t="s">
        <v>110</v>
      </c>
      <c r="AN29">
        <v>4</v>
      </c>
      <c r="AO29">
        <v>2</v>
      </c>
      <c r="AP29">
        <v>3</v>
      </c>
      <c r="AQ29">
        <v>3</v>
      </c>
      <c r="AR29">
        <v>2</v>
      </c>
      <c r="AS29" t="s">
        <v>111</v>
      </c>
      <c r="AT29">
        <v>4</v>
      </c>
      <c r="AU29">
        <v>4</v>
      </c>
      <c r="AV29">
        <v>3</v>
      </c>
      <c r="AW29">
        <v>4</v>
      </c>
      <c r="AX29">
        <v>3</v>
      </c>
      <c r="AY29">
        <v>4</v>
      </c>
      <c r="AZ29" t="s">
        <v>111</v>
      </c>
      <c r="BA29" t="s">
        <v>111</v>
      </c>
      <c r="BB29">
        <v>2</v>
      </c>
      <c r="BC29">
        <v>2</v>
      </c>
      <c r="BD29" t="s">
        <v>111</v>
      </c>
      <c r="BE29" t="s">
        <v>111</v>
      </c>
      <c r="BF29">
        <v>3</v>
      </c>
      <c r="BG29">
        <v>4</v>
      </c>
      <c r="BH29" t="s">
        <v>112</v>
      </c>
      <c r="BI29" t="s">
        <v>112</v>
      </c>
      <c r="BJ29" t="s">
        <v>112</v>
      </c>
      <c r="BK29" t="s">
        <v>112</v>
      </c>
      <c r="BL29" t="s">
        <v>112</v>
      </c>
      <c r="BM29" t="s">
        <v>112</v>
      </c>
      <c r="BN29" t="s">
        <v>112</v>
      </c>
      <c r="BO29" t="s">
        <v>261</v>
      </c>
      <c r="BP29">
        <v>392.8</v>
      </c>
      <c r="BQ29">
        <v>177.64</v>
      </c>
      <c r="CD29">
        <v>215.16</v>
      </c>
    </row>
    <row r="30" spans="1:82" x14ac:dyDescent="0.35">
      <c r="A30">
        <v>241</v>
      </c>
      <c r="B30" t="s">
        <v>262</v>
      </c>
      <c r="C30">
        <v>2</v>
      </c>
      <c r="D30" t="s">
        <v>89</v>
      </c>
      <c r="E30">
        <v>128736072</v>
      </c>
      <c r="F30" t="s">
        <v>263</v>
      </c>
      <c r="G30" t="s">
        <v>262</v>
      </c>
      <c r="H30" t="s">
        <v>93</v>
      </c>
      <c r="I30" t="s">
        <v>94</v>
      </c>
      <c r="J30" t="s">
        <v>94</v>
      </c>
      <c r="K30" t="s">
        <v>94</v>
      </c>
      <c r="L30" t="s">
        <v>94</v>
      </c>
      <c r="M30" t="s">
        <v>94</v>
      </c>
      <c r="O30" t="s">
        <v>94</v>
      </c>
      <c r="P30" t="s">
        <v>266</v>
      </c>
      <c r="Q30" t="s">
        <v>120</v>
      </c>
      <c r="S30" t="s">
        <v>94</v>
      </c>
      <c r="T30" t="s">
        <v>93</v>
      </c>
      <c r="U30" t="s">
        <v>93</v>
      </c>
      <c r="V30" t="s">
        <v>94</v>
      </c>
      <c r="W30" t="s">
        <v>94</v>
      </c>
      <c r="X30" t="s">
        <v>94</v>
      </c>
      <c r="Y30" t="s">
        <v>94</v>
      </c>
      <c r="AI30" t="s">
        <v>109</v>
      </c>
      <c r="AJ30">
        <v>3</v>
      </c>
      <c r="AK30">
        <v>3</v>
      </c>
      <c r="AL30">
        <v>4</v>
      </c>
      <c r="AM30" t="s">
        <v>110</v>
      </c>
      <c r="AN30">
        <v>4</v>
      </c>
      <c r="AO30">
        <v>4</v>
      </c>
      <c r="AP30">
        <v>4</v>
      </c>
      <c r="AQ30">
        <v>3</v>
      </c>
      <c r="AR30">
        <v>3</v>
      </c>
      <c r="AS30">
        <v>3</v>
      </c>
      <c r="AT30">
        <v>4</v>
      </c>
      <c r="AU30">
        <v>4</v>
      </c>
      <c r="AV30">
        <v>4</v>
      </c>
      <c r="AW30">
        <v>4</v>
      </c>
      <c r="AX30">
        <v>4</v>
      </c>
      <c r="AY30">
        <v>4</v>
      </c>
      <c r="AZ30">
        <v>4</v>
      </c>
      <c r="BA30">
        <v>4</v>
      </c>
      <c r="BB30">
        <v>3</v>
      </c>
      <c r="BC30">
        <v>3</v>
      </c>
      <c r="BD30">
        <v>3</v>
      </c>
      <c r="BE30">
        <v>3</v>
      </c>
      <c r="BF30">
        <v>4</v>
      </c>
      <c r="BG30">
        <v>4</v>
      </c>
      <c r="BH30">
        <v>3</v>
      </c>
      <c r="BI30">
        <v>3</v>
      </c>
      <c r="BJ30">
        <v>3</v>
      </c>
      <c r="BK30">
        <v>3</v>
      </c>
      <c r="BL30">
        <v>3</v>
      </c>
      <c r="BM30">
        <v>3</v>
      </c>
      <c r="BN30">
        <v>3</v>
      </c>
      <c r="BP30">
        <v>148.46</v>
      </c>
      <c r="BQ30">
        <v>43.66</v>
      </c>
      <c r="CD30">
        <v>104.8</v>
      </c>
    </row>
    <row r="31" spans="1:82" x14ac:dyDescent="0.35">
      <c r="A31">
        <v>242</v>
      </c>
      <c r="B31" t="s">
        <v>267</v>
      </c>
      <c r="C31">
        <v>2</v>
      </c>
      <c r="D31" t="s">
        <v>89</v>
      </c>
      <c r="E31">
        <v>1796249862</v>
      </c>
      <c r="F31" t="s">
        <v>268</v>
      </c>
      <c r="G31" t="s">
        <v>267</v>
      </c>
      <c r="H31" t="s">
        <v>93</v>
      </c>
      <c r="I31" t="s">
        <v>94</v>
      </c>
      <c r="J31" t="s">
        <v>94</v>
      </c>
      <c r="K31" t="s">
        <v>94</v>
      </c>
      <c r="L31" t="s">
        <v>93</v>
      </c>
      <c r="M31" t="s">
        <v>94</v>
      </c>
      <c r="O31" t="s">
        <v>93</v>
      </c>
      <c r="Q31" t="s">
        <v>143</v>
      </c>
      <c r="R31" t="s">
        <v>105</v>
      </c>
      <c r="S31" t="s">
        <v>94</v>
      </c>
      <c r="T31" t="s">
        <v>93</v>
      </c>
      <c r="U31" t="s">
        <v>94</v>
      </c>
      <c r="V31" t="s">
        <v>94</v>
      </c>
      <c r="W31" t="s">
        <v>93</v>
      </c>
      <c r="X31" t="s">
        <v>93</v>
      </c>
      <c r="Y31" t="s">
        <v>94</v>
      </c>
      <c r="AA31" t="s">
        <v>106</v>
      </c>
      <c r="AB31" t="s">
        <v>106</v>
      </c>
      <c r="AC31" t="s">
        <v>106</v>
      </c>
      <c r="AD31">
        <v>4</v>
      </c>
      <c r="AE31">
        <v>3</v>
      </c>
      <c r="AF31">
        <v>3</v>
      </c>
      <c r="AG31">
        <v>4</v>
      </c>
      <c r="AI31" t="s">
        <v>97</v>
      </c>
      <c r="AJ31">
        <v>2</v>
      </c>
      <c r="AK31">
        <v>2</v>
      </c>
      <c r="AL31">
        <v>3</v>
      </c>
      <c r="AM31" t="s">
        <v>110</v>
      </c>
      <c r="AN31">
        <v>3</v>
      </c>
      <c r="AO31">
        <v>4</v>
      </c>
      <c r="AP31">
        <v>3</v>
      </c>
      <c r="AQ31">
        <v>3</v>
      </c>
      <c r="AR31">
        <v>2</v>
      </c>
      <c r="AS31">
        <v>2</v>
      </c>
      <c r="AT31">
        <v>2</v>
      </c>
      <c r="AU31" t="s">
        <v>111</v>
      </c>
      <c r="AV31">
        <v>4</v>
      </c>
      <c r="AW31">
        <v>4</v>
      </c>
      <c r="AX31">
        <v>4</v>
      </c>
      <c r="AY31">
        <v>3</v>
      </c>
      <c r="AZ31">
        <v>3</v>
      </c>
      <c r="BA31" t="s">
        <v>98</v>
      </c>
      <c r="BB31">
        <v>3</v>
      </c>
      <c r="BC31" t="s">
        <v>98</v>
      </c>
      <c r="BD31">
        <v>3</v>
      </c>
      <c r="BE31">
        <v>4</v>
      </c>
      <c r="BF31">
        <v>3</v>
      </c>
      <c r="BG31">
        <v>3</v>
      </c>
      <c r="BH31">
        <v>3</v>
      </c>
      <c r="BI31">
        <v>4</v>
      </c>
      <c r="BJ31">
        <v>4</v>
      </c>
      <c r="BK31" t="s">
        <v>99</v>
      </c>
      <c r="BL31" t="s">
        <v>99</v>
      </c>
      <c r="BM31">
        <v>4</v>
      </c>
      <c r="BN31" t="s">
        <v>99</v>
      </c>
      <c r="BP31">
        <v>243.45</v>
      </c>
      <c r="BQ31">
        <v>103.43</v>
      </c>
      <c r="CD31">
        <v>140.02000000000001</v>
      </c>
    </row>
    <row r="32" spans="1:82" x14ac:dyDescent="0.35">
      <c r="A32">
        <v>243</v>
      </c>
      <c r="B32" t="s">
        <v>271</v>
      </c>
      <c r="C32">
        <v>2</v>
      </c>
      <c r="D32" t="s">
        <v>89</v>
      </c>
      <c r="E32">
        <v>946919099</v>
      </c>
      <c r="F32" t="s">
        <v>272</v>
      </c>
      <c r="G32" t="s">
        <v>271</v>
      </c>
      <c r="H32" t="s">
        <v>93</v>
      </c>
      <c r="I32" t="s">
        <v>94</v>
      </c>
      <c r="J32" t="s">
        <v>93</v>
      </c>
      <c r="K32" t="s">
        <v>94</v>
      </c>
      <c r="L32" t="s">
        <v>93</v>
      </c>
      <c r="M32" t="s">
        <v>93</v>
      </c>
      <c r="O32" t="s">
        <v>93</v>
      </c>
      <c r="Q32" t="s">
        <v>96</v>
      </c>
      <c r="R32" t="s">
        <v>105</v>
      </c>
      <c r="S32" t="s">
        <v>94</v>
      </c>
      <c r="T32" t="s">
        <v>93</v>
      </c>
      <c r="U32" t="s">
        <v>94</v>
      </c>
      <c r="V32" t="s">
        <v>93</v>
      </c>
      <c r="W32" t="s">
        <v>93</v>
      </c>
      <c r="X32" t="s">
        <v>94</v>
      </c>
      <c r="Y32" t="s">
        <v>94</v>
      </c>
      <c r="AA32" t="s">
        <v>107</v>
      </c>
      <c r="AB32" t="s">
        <v>106</v>
      </c>
      <c r="AC32" t="s">
        <v>106</v>
      </c>
      <c r="AD32">
        <v>3</v>
      </c>
      <c r="AE32">
        <v>4</v>
      </c>
      <c r="AF32">
        <v>4</v>
      </c>
      <c r="AG32">
        <v>4</v>
      </c>
      <c r="AI32" t="s">
        <v>97</v>
      </c>
      <c r="AJ32">
        <v>2</v>
      </c>
      <c r="AK32">
        <v>3</v>
      </c>
      <c r="AL32" t="s">
        <v>110</v>
      </c>
      <c r="AM32" t="s">
        <v>110</v>
      </c>
      <c r="AN32">
        <v>3</v>
      </c>
      <c r="AO32">
        <v>2</v>
      </c>
      <c r="AP32">
        <v>2</v>
      </c>
      <c r="AQ32">
        <v>3</v>
      </c>
      <c r="AR32" t="s">
        <v>111</v>
      </c>
      <c r="AS32" t="s">
        <v>111</v>
      </c>
      <c r="AT32">
        <v>2</v>
      </c>
      <c r="AU32">
        <v>3</v>
      </c>
      <c r="AV32">
        <v>3</v>
      </c>
      <c r="AW32">
        <v>4</v>
      </c>
      <c r="AX32">
        <v>3</v>
      </c>
      <c r="AY32">
        <v>3</v>
      </c>
      <c r="AZ32">
        <v>4</v>
      </c>
      <c r="BA32" t="s">
        <v>98</v>
      </c>
      <c r="BB32" t="s">
        <v>111</v>
      </c>
      <c r="BC32">
        <v>2</v>
      </c>
      <c r="BD32">
        <v>2</v>
      </c>
      <c r="BE32">
        <v>3</v>
      </c>
      <c r="BF32">
        <v>3</v>
      </c>
      <c r="BG32" t="s">
        <v>98</v>
      </c>
      <c r="BH32" t="s">
        <v>99</v>
      </c>
      <c r="BI32">
        <v>4</v>
      </c>
      <c r="BJ32" t="s">
        <v>99</v>
      </c>
      <c r="BK32" t="s">
        <v>99</v>
      </c>
      <c r="BL32" t="s">
        <v>99</v>
      </c>
      <c r="BM32" t="s">
        <v>99</v>
      </c>
      <c r="BN32" t="s">
        <v>99</v>
      </c>
      <c r="BO32" t="s">
        <v>275</v>
      </c>
      <c r="BP32">
        <v>1727.01</v>
      </c>
      <c r="BQ32">
        <v>383.5</v>
      </c>
      <c r="CD32">
        <v>1343.51</v>
      </c>
    </row>
    <row r="33" spans="1:82" x14ac:dyDescent="0.35">
      <c r="A33">
        <v>244</v>
      </c>
      <c r="B33" t="s">
        <v>276</v>
      </c>
      <c r="C33">
        <v>2</v>
      </c>
      <c r="D33" t="s">
        <v>89</v>
      </c>
      <c r="E33">
        <v>1275844892</v>
      </c>
      <c r="F33" t="s">
        <v>277</v>
      </c>
      <c r="G33" t="s">
        <v>276</v>
      </c>
      <c r="H33" t="s">
        <v>93</v>
      </c>
      <c r="I33" t="s">
        <v>94</v>
      </c>
      <c r="J33" t="s">
        <v>94</v>
      </c>
      <c r="K33" t="s">
        <v>94</v>
      </c>
      <c r="L33" t="s">
        <v>94</v>
      </c>
      <c r="M33" t="s">
        <v>94</v>
      </c>
      <c r="O33" t="s">
        <v>93</v>
      </c>
      <c r="Q33" t="s">
        <v>120</v>
      </c>
      <c r="R33" t="s">
        <v>105</v>
      </c>
      <c r="S33" t="s">
        <v>93</v>
      </c>
      <c r="T33" t="s">
        <v>93</v>
      </c>
      <c r="U33" t="s">
        <v>94</v>
      </c>
      <c r="V33" t="s">
        <v>94</v>
      </c>
      <c r="W33" t="s">
        <v>93</v>
      </c>
      <c r="X33" t="s">
        <v>94</v>
      </c>
      <c r="Y33" t="s">
        <v>94</v>
      </c>
      <c r="AA33" t="s">
        <v>106</v>
      </c>
      <c r="AB33" t="s">
        <v>107</v>
      </c>
      <c r="AC33" t="s">
        <v>106</v>
      </c>
      <c r="AD33" t="s">
        <v>121</v>
      </c>
      <c r="AE33">
        <v>3</v>
      </c>
      <c r="AF33">
        <v>4</v>
      </c>
      <c r="AG33" t="s">
        <v>121</v>
      </c>
      <c r="AI33" t="s">
        <v>109</v>
      </c>
      <c r="AJ33">
        <v>3</v>
      </c>
      <c r="AK33">
        <v>3</v>
      </c>
      <c r="AL33">
        <v>4</v>
      </c>
      <c r="AM33" t="s">
        <v>110</v>
      </c>
      <c r="AN33">
        <v>3</v>
      </c>
      <c r="AO33">
        <v>4</v>
      </c>
      <c r="AP33">
        <v>3</v>
      </c>
      <c r="AQ33">
        <v>3</v>
      </c>
      <c r="AR33">
        <v>4</v>
      </c>
      <c r="AS33" t="s">
        <v>111</v>
      </c>
      <c r="AT33" t="s">
        <v>111</v>
      </c>
      <c r="AU33">
        <v>2</v>
      </c>
      <c r="AV33">
        <v>3</v>
      </c>
      <c r="AW33">
        <v>4</v>
      </c>
      <c r="AX33">
        <v>4</v>
      </c>
      <c r="AY33">
        <v>4</v>
      </c>
      <c r="AZ33">
        <v>3</v>
      </c>
      <c r="BA33">
        <v>4</v>
      </c>
      <c r="BB33">
        <v>2</v>
      </c>
      <c r="BC33">
        <v>4</v>
      </c>
      <c r="BD33">
        <v>3</v>
      </c>
      <c r="BE33">
        <v>4</v>
      </c>
      <c r="BF33">
        <v>3</v>
      </c>
      <c r="BG33">
        <v>4</v>
      </c>
      <c r="BH33">
        <v>4</v>
      </c>
      <c r="BI33">
        <v>3</v>
      </c>
      <c r="BJ33">
        <v>4</v>
      </c>
      <c r="BK33" t="s">
        <v>99</v>
      </c>
      <c r="BL33">
        <v>3</v>
      </c>
      <c r="BM33">
        <v>4</v>
      </c>
      <c r="BN33">
        <v>2</v>
      </c>
      <c r="BP33">
        <v>751.06</v>
      </c>
      <c r="BQ33">
        <v>305.54000000000002</v>
      </c>
      <c r="CD33">
        <v>445.52</v>
      </c>
    </row>
    <row r="34" spans="1:82" x14ac:dyDescent="0.35">
      <c r="A34">
        <v>245</v>
      </c>
      <c r="B34" t="s">
        <v>280</v>
      </c>
      <c r="C34">
        <v>2</v>
      </c>
      <c r="D34" t="s">
        <v>89</v>
      </c>
      <c r="E34">
        <v>559674793</v>
      </c>
      <c r="F34" t="s">
        <v>281</v>
      </c>
      <c r="G34" t="s">
        <v>280</v>
      </c>
      <c r="H34" t="s">
        <v>93</v>
      </c>
      <c r="I34" t="s">
        <v>94</v>
      </c>
      <c r="J34" t="s">
        <v>94</v>
      </c>
      <c r="K34" t="s">
        <v>94</v>
      </c>
      <c r="L34" t="s">
        <v>94</v>
      </c>
      <c r="M34" t="s">
        <v>93</v>
      </c>
      <c r="O34" t="s">
        <v>93</v>
      </c>
      <c r="Q34" t="s">
        <v>96</v>
      </c>
      <c r="R34" t="s">
        <v>93</v>
      </c>
      <c r="S34" t="s">
        <v>94</v>
      </c>
      <c r="T34" t="s">
        <v>93</v>
      </c>
      <c r="U34" t="s">
        <v>94</v>
      </c>
      <c r="V34" t="s">
        <v>94</v>
      </c>
      <c r="W34" t="s">
        <v>93</v>
      </c>
      <c r="X34" t="s">
        <v>94</v>
      </c>
      <c r="Y34" t="s">
        <v>94</v>
      </c>
      <c r="AA34" t="s">
        <v>106</v>
      </c>
      <c r="AB34" t="s">
        <v>106</v>
      </c>
      <c r="AC34" t="s">
        <v>106</v>
      </c>
      <c r="AD34" t="s">
        <v>121</v>
      </c>
      <c r="AE34">
        <v>4</v>
      </c>
      <c r="AF34">
        <v>4</v>
      </c>
      <c r="AG34">
        <v>4</v>
      </c>
      <c r="AI34" t="s">
        <v>97</v>
      </c>
      <c r="AJ34">
        <v>3</v>
      </c>
      <c r="AK34">
        <v>3</v>
      </c>
      <c r="AL34">
        <v>4</v>
      </c>
      <c r="AM34" t="s">
        <v>110</v>
      </c>
      <c r="AN34">
        <v>4</v>
      </c>
      <c r="AO34">
        <v>3</v>
      </c>
      <c r="AP34">
        <v>3</v>
      </c>
      <c r="AQ34">
        <v>3</v>
      </c>
      <c r="AR34">
        <v>2</v>
      </c>
      <c r="AS34">
        <v>2</v>
      </c>
      <c r="AT34">
        <v>2</v>
      </c>
      <c r="AU34" t="s">
        <v>111</v>
      </c>
      <c r="AV34">
        <v>4</v>
      </c>
      <c r="AW34">
        <v>4</v>
      </c>
      <c r="AX34">
        <v>4</v>
      </c>
      <c r="AY34">
        <v>4</v>
      </c>
      <c r="AZ34">
        <v>4</v>
      </c>
      <c r="BA34" t="s">
        <v>98</v>
      </c>
      <c r="BB34">
        <v>3</v>
      </c>
      <c r="BC34">
        <v>3</v>
      </c>
      <c r="BD34">
        <v>3</v>
      </c>
      <c r="BE34">
        <v>3</v>
      </c>
      <c r="BF34">
        <v>3</v>
      </c>
      <c r="BG34">
        <v>3</v>
      </c>
      <c r="BH34">
        <v>3</v>
      </c>
      <c r="BI34">
        <v>4</v>
      </c>
      <c r="BJ34">
        <v>4</v>
      </c>
      <c r="BK34" t="s">
        <v>99</v>
      </c>
      <c r="BL34">
        <v>4</v>
      </c>
      <c r="BM34">
        <v>3</v>
      </c>
      <c r="BN34">
        <v>4</v>
      </c>
      <c r="BP34">
        <v>372.54</v>
      </c>
      <c r="BQ34">
        <v>166.74</v>
      </c>
      <c r="CD34">
        <v>205.8</v>
      </c>
    </row>
    <row r="35" spans="1:82" x14ac:dyDescent="0.35">
      <c r="A35">
        <v>246</v>
      </c>
      <c r="B35" t="s">
        <v>284</v>
      </c>
      <c r="C35">
        <v>2</v>
      </c>
      <c r="D35" t="s">
        <v>89</v>
      </c>
      <c r="E35">
        <v>1089759499</v>
      </c>
      <c r="F35" t="s">
        <v>285</v>
      </c>
      <c r="G35" t="s">
        <v>284</v>
      </c>
      <c r="H35" t="s">
        <v>93</v>
      </c>
      <c r="I35" t="s">
        <v>94</v>
      </c>
      <c r="J35" t="s">
        <v>94</v>
      </c>
      <c r="K35" t="s">
        <v>94</v>
      </c>
      <c r="L35" t="s">
        <v>94</v>
      </c>
      <c r="M35" t="s">
        <v>93</v>
      </c>
      <c r="O35" t="s">
        <v>93</v>
      </c>
      <c r="Q35" t="s">
        <v>120</v>
      </c>
      <c r="R35" t="s">
        <v>105</v>
      </c>
      <c r="S35" t="s">
        <v>94</v>
      </c>
      <c r="T35" t="s">
        <v>93</v>
      </c>
      <c r="U35" t="s">
        <v>94</v>
      </c>
      <c r="V35" t="s">
        <v>93</v>
      </c>
      <c r="W35" t="s">
        <v>93</v>
      </c>
      <c r="X35" t="s">
        <v>94</v>
      </c>
      <c r="Y35" t="s">
        <v>94</v>
      </c>
      <c r="AA35" t="s">
        <v>107</v>
      </c>
      <c r="AB35" t="s">
        <v>106</v>
      </c>
      <c r="AC35" t="s">
        <v>106</v>
      </c>
      <c r="AD35">
        <v>3</v>
      </c>
      <c r="AE35" t="s">
        <v>108</v>
      </c>
      <c r="AF35">
        <v>3</v>
      </c>
      <c r="AG35">
        <v>3</v>
      </c>
      <c r="AI35" t="s">
        <v>97</v>
      </c>
      <c r="AJ35" t="s">
        <v>130</v>
      </c>
      <c r="AK35">
        <v>4</v>
      </c>
      <c r="AL35">
        <v>4</v>
      </c>
      <c r="AM35" t="s">
        <v>110</v>
      </c>
      <c r="AN35">
        <v>4</v>
      </c>
      <c r="AO35">
        <v>2</v>
      </c>
      <c r="AP35">
        <v>4</v>
      </c>
      <c r="AQ35">
        <v>2</v>
      </c>
      <c r="AR35">
        <v>2</v>
      </c>
      <c r="AS35" t="s">
        <v>111</v>
      </c>
      <c r="AT35">
        <v>2</v>
      </c>
      <c r="AU35" t="s">
        <v>111</v>
      </c>
      <c r="AV35">
        <v>4</v>
      </c>
      <c r="AW35">
        <v>4</v>
      </c>
      <c r="AX35">
        <v>3</v>
      </c>
      <c r="AY35">
        <v>2</v>
      </c>
      <c r="AZ35">
        <v>4</v>
      </c>
      <c r="BA35">
        <v>4</v>
      </c>
      <c r="BB35">
        <v>3</v>
      </c>
      <c r="BC35">
        <v>3</v>
      </c>
      <c r="BD35">
        <v>3</v>
      </c>
      <c r="BE35">
        <v>4</v>
      </c>
      <c r="BF35">
        <v>2</v>
      </c>
      <c r="BG35">
        <v>3</v>
      </c>
      <c r="BH35" t="s">
        <v>99</v>
      </c>
      <c r="BI35" t="s">
        <v>99</v>
      </c>
      <c r="BJ35" t="s">
        <v>99</v>
      </c>
      <c r="BK35" t="s">
        <v>99</v>
      </c>
      <c r="BL35" t="s">
        <v>99</v>
      </c>
      <c r="BM35" t="s">
        <v>99</v>
      </c>
      <c r="BN35" t="s">
        <v>99</v>
      </c>
      <c r="BP35">
        <v>201.15</v>
      </c>
      <c r="BQ35">
        <v>100.43</v>
      </c>
      <c r="CD35">
        <v>100.72</v>
      </c>
    </row>
    <row r="36" spans="1:82" x14ac:dyDescent="0.35">
      <c r="A36">
        <v>247</v>
      </c>
      <c r="B36" t="s">
        <v>288</v>
      </c>
      <c r="C36">
        <v>2</v>
      </c>
      <c r="D36" t="s">
        <v>89</v>
      </c>
      <c r="E36">
        <v>336023622</v>
      </c>
      <c r="F36" t="s">
        <v>289</v>
      </c>
      <c r="G36" t="s">
        <v>288</v>
      </c>
      <c r="H36" t="s">
        <v>93</v>
      </c>
      <c r="I36" t="s">
        <v>94</v>
      </c>
      <c r="J36" t="s">
        <v>94</v>
      </c>
      <c r="K36" t="s">
        <v>94</v>
      </c>
      <c r="L36" t="s">
        <v>94</v>
      </c>
      <c r="M36" t="s">
        <v>94</v>
      </c>
      <c r="O36" t="s">
        <v>93</v>
      </c>
      <c r="Q36" t="s">
        <v>96</v>
      </c>
      <c r="R36" t="s">
        <v>105</v>
      </c>
      <c r="S36" t="s">
        <v>94</v>
      </c>
      <c r="T36" t="s">
        <v>93</v>
      </c>
      <c r="U36" t="s">
        <v>94</v>
      </c>
      <c r="V36" t="s">
        <v>93</v>
      </c>
      <c r="W36" t="s">
        <v>94</v>
      </c>
      <c r="X36" t="s">
        <v>94</v>
      </c>
      <c r="Y36" t="s">
        <v>94</v>
      </c>
      <c r="Z36" t="s">
        <v>292</v>
      </c>
      <c r="AA36" t="s">
        <v>107</v>
      </c>
      <c r="AB36" t="s">
        <v>108</v>
      </c>
      <c r="AC36" t="s">
        <v>106</v>
      </c>
      <c r="AD36">
        <v>3</v>
      </c>
      <c r="AE36" t="s">
        <v>121</v>
      </c>
      <c r="AF36" t="s">
        <v>121</v>
      </c>
      <c r="AG36">
        <v>4</v>
      </c>
      <c r="AI36" t="s">
        <v>97</v>
      </c>
      <c r="AJ36">
        <v>2</v>
      </c>
      <c r="AK36">
        <v>3</v>
      </c>
      <c r="AL36">
        <v>4</v>
      </c>
      <c r="AM36" t="s">
        <v>110</v>
      </c>
      <c r="AN36">
        <v>4</v>
      </c>
      <c r="AO36">
        <v>4</v>
      </c>
      <c r="AP36">
        <v>2</v>
      </c>
      <c r="AQ36">
        <v>2</v>
      </c>
      <c r="AR36">
        <v>3</v>
      </c>
      <c r="AS36">
        <v>4</v>
      </c>
      <c r="AT36">
        <v>2</v>
      </c>
      <c r="AU36">
        <v>3</v>
      </c>
      <c r="AV36">
        <v>3</v>
      </c>
      <c r="AW36">
        <v>2</v>
      </c>
      <c r="AX36">
        <v>3</v>
      </c>
      <c r="AY36">
        <v>4</v>
      </c>
      <c r="AZ36">
        <v>3</v>
      </c>
      <c r="BA36">
        <v>4</v>
      </c>
      <c r="BB36">
        <v>3</v>
      </c>
      <c r="BC36">
        <v>3</v>
      </c>
      <c r="BD36">
        <v>2</v>
      </c>
      <c r="BE36">
        <v>3</v>
      </c>
      <c r="BF36">
        <v>3</v>
      </c>
      <c r="BG36">
        <v>3</v>
      </c>
      <c r="BH36">
        <v>3</v>
      </c>
      <c r="BI36">
        <v>3</v>
      </c>
      <c r="BJ36">
        <v>3</v>
      </c>
      <c r="BK36">
        <v>4</v>
      </c>
      <c r="BL36">
        <v>3</v>
      </c>
      <c r="BM36">
        <v>4</v>
      </c>
      <c r="BN36">
        <v>4</v>
      </c>
      <c r="BP36">
        <v>320.69</v>
      </c>
      <c r="BQ36">
        <v>110.23</v>
      </c>
      <c r="CD36">
        <v>210.46</v>
      </c>
    </row>
    <row r="37" spans="1:82" x14ac:dyDescent="0.35">
      <c r="A37">
        <v>248</v>
      </c>
      <c r="B37" t="s">
        <v>293</v>
      </c>
      <c r="C37">
        <v>2</v>
      </c>
      <c r="D37" t="s">
        <v>89</v>
      </c>
      <c r="E37">
        <v>1010224540</v>
      </c>
      <c r="F37" t="s">
        <v>294</v>
      </c>
      <c r="G37" t="s">
        <v>293</v>
      </c>
      <c r="H37" t="s">
        <v>93</v>
      </c>
      <c r="I37" t="s">
        <v>93</v>
      </c>
      <c r="J37" t="s">
        <v>94</v>
      </c>
      <c r="K37" t="s">
        <v>94</v>
      </c>
      <c r="L37" t="s">
        <v>94</v>
      </c>
      <c r="M37" t="s">
        <v>94</v>
      </c>
      <c r="O37" t="s">
        <v>93</v>
      </c>
      <c r="Q37" t="s">
        <v>96</v>
      </c>
      <c r="R37" t="s">
        <v>105</v>
      </c>
      <c r="S37" t="s">
        <v>93</v>
      </c>
      <c r="T37" t="s">
        <v>94</v>
      </c>
      <c r="U37" t="s">
        <v>93</v>
      </c>
      <c r="V37" t="s">
        <v>94</v>
      </c>
      <c r="W37" t="s">
        <v>94</v>
      </c>
      <c r="X37" t="s">
        <v>94</v>
      </c>
      <c r="Y37" t="s">
        <v>94</v>
      </c>
      <c r="AA37" t="s">
        <v>106</v>
      </c>
      <c r="AB37" t="s">
        <v>106</v>
      </c>
      <c r="AC37" t="s">
        <v>107</v>
      </c>
      <c r="AD37">
        <v>3</v>
      </c>
      <c r="AE37">
        <v>4</v>
      </c>
      <c r="AF37">
        <v>4</v>
      </c>
      <c r="AG37">
        <v>3</v>
      </c>
      <c r="AI37" t="s">
        <v>158</v>
      </c>
      <c r="AJ37" t="s">
        <v>130</v>
      </c>
      <c r="AK37">
        <v>3</v>
      </c>
      <c r="AL37">
        <v>4</v>
      </c>
      <c r="AM37" t="s">
        <v>110</v>
      </c>
      <c r="AN37">
        <v>4</v>
      </c>
      <c r="AO37">
        <v>4</v>
      </c>
      <c r="AP37">
        <v>3</v>
      </c>
      <c r="AQ37">
        <v>3</v>
      </c>
      <c r="AR37">
        <v>3</v>
      </c>
      <c r="AS37">
        <v>3</v>
      </c>
      <c r="AT37" t="s">
        <v>98</v>
      </c>
      <c r="AU37" t="s">
        <v>98</v>
      </c>
      <c r="AV37">
        <v>3</v>
      </c>
      <c r="AW37">
        <v>3</v>
      </c>
      <c r="AX37">
        <v>3</v>
      </c>
      <c r="AY37" t="s">
        <v>98</v>
      </c>
      <c r="AZ37">
        <v>3</v>
      </c>
      <c r="BA37">
        <v>3</v>
      </c>
      <c r="BB37">
        <v>3</v>
      </c>
      <c r="BC37">
        <v>3</v>
      </c>
      <c r="BD37">
        <v>4</v>
      </c>
      <c r="BE37" t="s">
        <v>98</v>
      </c>
      <c r="BF37">
        <v>4</v>
      </c>
      <c r="BG37" t="s">
        <v>98</v>
      </c>
      <c r="BH37">
        <v>3</v>
      </c>
      <c r="BI37">
        <v>4</v>
      </c>
      <c r="BJ37">
        <v>2</v>
      </c>
      <c r="BK37" t="s">
        <v>99</v>
      </c>
      <c r="BL37">
        <v>3</v>
      </c>
      <c r="BM37">
        <v>4</v>
      </c>
      <c r="BN37">
        <v>4</v>
      </c>
      <c r="BP37">
        <v>196.67</v>
      </c>
      <c r="BQ37">
        <v>90.57</v>
      </c>
      <c r="CD37">
        <v>106.1</v>
      </c>
    </row>
    <row r="38" spans="1:82" x14ac:dyDescent="0.35">
      <c r="A38">
        <v>249</v>
      </c>
      <c r="B38" t="s">
        <v>297</v>
      </c>
      <c r="C38">
        <v>2</v>
      </c>
      <c r="D38" t="s">
        <v>89</v>
      </c>
      <c r="E38">
        <v>368664173</v>
      </c>
      <c r="F38" t="s">
        <v>298</v>
      </c>
      <c r="G38" t="s">
        <v>297</v>
      </c>
      <c r="H38" t="s">
        <v>93</v>
      </c>
      <c r="I38" t="s">
        <v>93</v>
      </c>
      <c r="J38" t="s">
        <v>94</v>
      </c>
      <c r="K38" t="s">
        <v>93</v>
      </c>
      <c r="L38" t="s">
        <v>93</v>
      </c>
      <c r="M38" t="s">
        <v>93</v>
      </c>
      <c r="O38" t="s">
        <v>93</v>
      </c>
      <c r="Q38" t="s">
        <v>96</v>
      </c>
      <c r="R38" t="s">
        <v>105</v>
      </c>
      <c r="S38" t="s">
        <v>93</v>
      </c>
      <c r="T38" t="s">
        <v>93</v>
      </c>
      <c r="U38" t="s">
        <v>94</v>
      </c>
      <c r="V38" t="s">
        <v>93</v>
      </c>
      <c r="W38" t="s">
        <v>94</v>
      </c>
      <c r="X38" t="s">
        <v>93</v>
      </c>
      <c r="Y38" t="s">
        <v>94</v>
      </c>
      <c r="AA38" t="s">
        <v>106</v>
      </c>
      <c r="AB38" t="s">
        <v>106</v>
      </c>
      <c r="AC38" t="s">
        <v>107</v>
      </c>
      <c r="AD38" t="s">
        <v>121</v>
      </c>
      <c r="AE38" t="s">
        <v>108</v>
      </c>
      <c r="AF38" t="s">
        <v>121</v>
      </c>
      <c r="AG38" t="s">
        <v>121</v>
      </c>
      <c r="AI38" t="s">
        <v>158</v>
      </c>
      <c r="AJ38">
        <v>4</v>
      </c>
      <c r="AK38">
        <v>3</v>
      </c>
      <c r="AL38">
        <v>4</v>
      </c>
      <c r="AM38">
        <v>2</v>
      </c>
      <c r="AN38" t="s">
        <v>98</v>
      </c>
      <c r="AO38" t="s">
        <v>98</v>
      </c>
      <c r="AP38">
        <v>4</v>
      </c>
      <c r="AQ38">
        <v>3</v>
      </c>
      <c r="AR38">
        <v>4</v>
      </c>
      <c r="AS38">
        <v>4</v>
      </c>
      <c r="AT38" t="s">
        <v>98</v>
      </c>
      <c r="AU38" t="s">
        <v>98</v>
      </c>
      <c r="AV38">
        <v>4</v>
      </c>
      <c r="AW38">
        <v>4</v>
      </c>
      <c r="AX38" t="s">
        <v>98</v>
      </c>
      <c r="AY38" t="s">
        <v>98</v>
      </c>
      <c r="AZ38">
        <v>3</v>
      </c>
      <c r="BA38">
        <v>2</v>
      </c>
      <c r="BB38">
        <v>3</v>
      </c>
      <c r="BC38">
        <v>3</v>
      </c>
      <c r="BD38">
        <v>4</v>
      </c>
      <c r="BE38">
        <v>4</v>
      </c>
      <c r="BF38">
        <v>4</v>
      </c>
      <c r="BG38" t="s">
        <v>98</v>
      </c>
      <c r="BH38" t="s">
        <v>99</v>
      </c>
      <c r="BI38" t="s">
        <v>99</v>
      </c>
      <c r="BJ38" t="s">
        <v>99</v>
      </c>
      <c r="BK38" t="s">
        <v>99</v>
      </c>
      <c r="BL38">
        <v>4</v>
      </c>
      <c r="BM38" t="s">
        <v>99</v>
      </c>
      <c r="BN38">
        <v>4</v>
      </c>
      <c r="BP38">
        <v>167.11</v>
      </c>
      <c r="BQ38">
        <v>67.959999999999994</v>
      </c>
      <c r="CD38">
        <v>99.15</v>
      </c>
    </row>
    <row r="39" spans="1:82" x14ac:dyDescent="0.35">
      <c r="A39">
        <v>251</v>
      </c>
      <c r="B39" t="s">
        <v>302</v>
      </c>
      <c r="C39">
        <v>2</v>
      </c>
      <c r="D39" t="s">
        <v>89</v>
      </c>
      <c r="E39">
        <v>318079655</v>
      </c>
      <c r="F39" t="s">
        <v>303</v>
      </c>
      <c r="G39" t="s">
        <v>302</v>
      </c>
      <c r="H39" t="s">
        <v>93</v>
      </c>
      <c r="I39" t="s">
        <v>94</v>
      </c>
      <c r="J39" t="s">
        <v>94</v>
      </c>
      <c r="K39" t="s">
        <v>94</v>
      </c>
      <c r="L39" t="s">
        <v>93</v>
      </c>
      <c r="M39" t="s">
        <v>93</v>
      </c>
      <c r="O39" t="s">
        <v>93</v>
      </c>
      <c r="Q39" t="s">
        <v>96</v>
      </c>
      <c r="R39" t="s">
        <v>105</v>
      </c>
      <c r="S39" t="s">
        <v>94</v>
      </c>
      <c r="T39" t="s">
        <v>93</v>
      </c>
      <c r="U39" t="s">
        <v>94</v>
      </c>
      <c r="V39" t="s">
        <v>94</v>
      </c>
      <c r="W39" t="s">
        <v>93</v>
      </c>
      <c r="X39" t="s">
        <v>93</v>
      </c>
      <c r="Y39" t="s">
        <v>94</v>
      </c>
      <c r="AA39" t="s">
        <v>106</v>
      </c>
      <c r="AB39" t="s">
        <v>106</v>
      </c>
      <c r="AC39" t="s">
        <v>106</v>
      </c>
      <c r="AD39" t="s">
        <v>121</v>
      </c>
      <c r="AE39" t="s">
        <v>121</v>
      </c>
      <c r="AF39" t="s">
        <v>121</v>
      </c>
      <c r="AG39" t="s">
        <v>108</v>
      </c>
      <c r="AI39" t="s">
        <v>97</v>
      </c>
      <c r="AJ39">
        <v>2</v>
      </c>
      <c r="AK39">
        <v>3</v>
      </c>
      <c r="AL39">
        <v>4</v>
      </c>
      <c r="AM39" t="s">
        <v>110</v>
      </c>
      <c r="AN39">
        <v>4</v>
      </c>
      <c r="AO39" t="s">
        <v>98</v>
      </c>
      <c r="AP39">
        <v>4</v>
      </c>
      <c r="AQ39">
        <v>4</v>
      </c>
      <c r="AR39" t="s">
        <v>111</v>
      </c>
      <c r="AS39" t="s">
        <v>111</v>
      </c>
      <c r="AT39" t="s">
        <v>111</v>
      </c>
      <c r="AU39" t="s">
        <v>111</v>
      </c>
      <c r="AV39">
        <v>4</v>
      </c>
      <c r="AW39" t="s">
        <v>98</v>
      </c>
      <c r="AX39">
        <v>4</v>
      </c>
      <c r="AY39" t="s">
        <v>98</v>
      </c>
      <c r="AZ39">
        <v>4</v>
      </c>
      <c r="BA39" t="s">
        <v>98</v>
      </c>
      <c r="BB39">
        <v>4</v>
      </c>
      <c r="BC39" t="s">
        <v>98</v>
      </c>
      <c r="BD39">
        <v>3</v>
      </c>
      <c r="BE39" t="s">
        <v>98</v>
      </c>
      <c r="BF39">
        <v>3</v>
      </c>
      <c r="BG39">
        <v>4</v>
      </c>
      <c r="BH39" t="s">
        <v>99</v>
      </c>
      <c r="BI39" t="s">
        <v>99</v>
      </c>
      <c r="BJ39" t="s">
        <v>99</v>
      </c>
      <c r="BK39" t="s">
        <v>99</v>
      </c>
      <c r="BL39" t="s">
        <v>99</v>
      </c>
      <c r="BM39" t="s">
        <v>99</v>
      </c>
      <c r="BN39" t="s">
        <v>99</v>
      </c>
      <c r="BO39" t="s">
        <v>306</v>
      </c>
      <c r="BP39">
        <v>1770.23</v>
      </c>
      <c r="BQ39">
        <v>197.73</v>
      </c>
      <c r="CD39">
        <v>1572.5</v>
      </c>
    </row>
    <row r="40" spans="1:82" x14ac:dyDescent="0.35">
      <c r="A40">
        <v>252</v>
      </c>
      <c r="B40" t="s">
        <v>307</v>
      </c>
      <c r="C40">
        <v>2</v>
      </c>
      <c r="D40" t="s">
        <v>89</v>
      </c>
      <c r="E40">
        <v>2055506679</v>
      </c>
      <c r="F40" t="s">
        <v>308</v>
      </c>
      <c r="G40" t="s">
        <v>307</v>
      </c>
      <c r="H40" t="s">
        <v>93</v>
      </c>
      <c r="I40" t="s">
        <v>94</v>
      </c>
      <c r="J40" t="s">
        <v>94</v>
      </c>
      <c r="K40" t="s">
        <v>94</v>
      </c>
      <c r="L40" t="s">
        <v>94</v>
      </c>
      <c r="M40" t="s">
        <v>94</v>
      </c>
      <c r="O40" t="s">
        <v>93</v>
      </c>
      <c r="Q40" t="s">
        <v>120</v>
      </c>
      <c r="R40" t="s">
        <v>105</v>
      </c>
      <c r="S40" t="s">
        <v>93</v>
      </c>
      <c r="T40" t="s">
        <v>93</v>
      </c>
      <c r="U40" t="s">
        <v>94</v>
      </c>
      <c r="V40" t="s">
        <v>94</v>
      </c>
      <c r="W40" t="s">
        <v>94</v>
      </c>
      <c r="X40" t="s">
        <v>93</v>
      </c>
      <c r="Y40" t="s">
        <v>94</v>
      </c>
      <c r="AA40" t="s">
        <v>106</v>
      </c>
      <c r="AB40" t="s">
        <v>106</v>
      </c>
      <c r="AC40" t="s">
        <v>108</v>
      </c>
      <c r="AD40">
        <v>3</v>
      </c>
      <c r="AE40" t="s">
        <v>108</v>
      </c>
      <c r="AF40" t="s">
        <v>108</v>
      </c>
      <c r="AG40" t="s">
        <v>108</v>
      </c>
      <c r="AI40" t="s">
        <v>97</v>
      </c>
      <c r="AJ40">
        <v>2</v>
      </c>
      <c r="AK40">
        <v>3</v>
      </c>
      <c r="AL40">
        <v>3</v>
      </c>
      <c r="AM40">
        <v>3</v>
      </c>
      <c r="AN40">
        <v>4</v>
      </c>
      <c r="AO40">
        <v>3</v>
      </c>
      <c r="AP40">
        <v>3</v>
      </c>
      <c r="AQ40">
        <v>4</v>
      </c>
      <c r="AR40">
        <v>3</v>
      </c>
      <c r="AS40">
        <v>2</v>
      </c>
      <c r="AT40">
        <v>3</v>
      </c>
      <c r="AU40">
        <v>3</v>
      </c>
      <c r="AV40">
        <v>4</v>
      </c>
      <c r="AW40">
        <v>4</v>
      </c>
      <c r="AX40">
        <v>2</v>
      </c>
      <c r="AY40">
        <v>3</v>
      </c>
      <c r="AZ40" t="s">
        <v>98</v>
      </c>
      <c r="BA40">
        <v>4</v>
      </c>
      <c r="BB40">
        <v>4</v>
      </c>
      <c r="BC40">
        <v>4</v>
      </c>
      <c r="BD40">
        <v>2</v>
      </c>
      <c r="BE40">
        <v>2</v>
      </c>
      <c r="BF40">
        <v>3</v>
      </c>
      <c r="BG40">
        <v>4</v>
      </c>
      <c r="BH40">
        <v>4</v>
      </c>
      <c r="BI40">
        <v>4</v>
      </c>
      <c r="BJ40">
        <v>3</v>
      </c>
      <c r="BK40" t="s">
        <v>99</v>
      </c>
      <c r="BL40">
        <v>3</v>
      </c>
      <c r="BM40" t="s">
        <v>99</v>
      </c>
      <c r="BN40" t="s">
        <v>99</v>
      </c>
      <c r="BP40">
        <v>238.33</v>
      </c>
      <c r="BQ40">
        <v>99.13</v>
      </c>
      <c r="CD40">
        <v>139.19999999999999</v>
      </c>
    </row>
    <row r="41" spans="1:82" x14ac:dyDescent="0.35">
      <c r="A41">
        <v>253</v>
      </c>
      <c r="B41" t="s">
        <v>311</v>
      </c>
      <c r="C41">
        <v>2</v>
      </c>
      <c r="D41" t="s">
        <v>89</v>
      </c>
      <c r="E41">
        <v>914420950</v>
      </c>
      <c r="F41" t="s">
        <v>312</v>
      </c>
      <c r="G41" t="s">
        <v>311</v>
      </c>
      <c r="H41" t="s">
        <v>93</v>
      </c>
      <c r="I41" t="s">
        <v>94</v>
      </c>
      <c r="J41" t="s">
        <v>94</v>
      </c>
      <c r="K41" t="s">
        <v>94</v>
      </c>
      <c r="L41" t="s">
        <v>94</v>
      </c>
      <c r="M41" t="s">
        <v>94</v>
      </c>
      <c r="O41" t="s">
        <v>94</v>
      </c>
      <c r="P41" t="s">
        <v>315</v>
      </c>
      <c r="Q41" t="s">
        <v>96</v>
      </c>
      <c r="S41" t="s">
        <v>94</v>
      </c>
      <c r="T41" t="s">
        <v>94</v>
      </c>
      <c r="U41" t="s">
        <v>94</v>
      </c>
      <c r="V41" t="s">
        <v>94</v>
      </c>
      <c r="W41" t="s">
        <v>93</v>
      </c>
      <c r="X41" t="s">
        <v>94</v>
      </c>
      <c r="Y41" t="s">
        <v>94</v>
      </c>
      <c r="AI41" t="s">
        <v>158</v>
      </c>
      <c r="AJ41">
        <v>2</v>
      </c>
      <c r="AK41">
        <v>3</v>
      </c>
      <c r="AL41">
        <v>4</v>
      </c>
      <c r="AM41">
        <v>3</v>
      </c>
      <c r="AN41">
        <v>4</v>
      </c>
      <c r="AO41">
        <v>4</v>
      </c>
      <c r="AP41">
        <v>2</v>
      </c>
      <c r="AQ41">
        <v>2</v>
      </c>
      <c r="AR41" t="s">
        <v>111</v>
      </c>
      <c r="AS41" t="s">
        <v>111</v>
      </c>
      <c r="AT41">
        <v>3</v>
      </c>
      <c r="AU41" t="s">
        <v>98</v>
      </c>
      <c r="AV41">
        <v>4</v>
      </c>
      <c r="AW41" t="s">
        <v>111</v>
      </c>
      <c r="AX41">
        <v>4</v>
      </c>
      <c r="AY41" t="s">
        <v>98</v>
      </c>
      <c r="AZ41">
        <v>3</v>
      </c>
      <c r="BA41" t="s">
        <v>111</v>
      </c>
      <c r="BB41">
        <v>4</v>
      </c>
      <c r="BC41">
        <v>3</v>
      </c>
      <c r="BD41" t="s">
        <v>111</v>
      </c>
      <c r="BE41" t="s">
        <v>111</v>
      </c>
      <c r="BF41">
        <v>2</v>
      </c>
      <c r="BG41" t="s">
        <v>111</v>
      </c>
      <c r="BH41">
        <v>4</v>
      </c>
      <c r="BI41">
        <v>4</v>
      </c>
      <c r="BJ41" t="s">
        <v>99</v>
      </c>
      <c r="BK41" t="s">
        <v>112</v>
      </c>
      <c r="BL41" t="s">
        <v>112</v>
      </c>
      <c r="BM41">
        <v>4</v>
      </c>
      <c r="BN41" t="s">
        <v>112</v>
      </c>
      <c r="BP41">
        <v>238.59</v>
      </c>
      <c r="BQ41">
        <v>69.430000000000007</v>
      </c>
      <c r="CD41">
        <v>169.16</v>
      </c>
    </row>
    <row r="42" spans="1:82" x14ac:dyDescent="0.35">
      <c r="A42">
        <v>254</v>
      </c>
      <c r="B42" t="s">
        <v>316</v>
      </c>
      <c r="C42">
        <v>2</v>
      </c>
      <c r="D42" t="s">
        <v>89</v>
      </c>
      <c r="E42">
        <v>2054349237</v>
      </c>
      <c r="F42" t="s">
        <v>317</v>
      </c>
      <c r="G42" t="s">
        <v>316</v>
      </c>
      <c r="H42" t="s">
        <v>93</v>
      </c>
      <c r="I42" t="s">
        <v>94</v>
      </c>
      <c r="J42" t="s">
        <v>94</v>
      </c>
      <c r="K42" t="s">
        <v>94</v>
      </c>
      <c r="L42" t="s">
        <v>94</v>
      </c>
      <c r="M42" t="s">
        <v>94</v>
      </c>
      <c r="O42" t="s">
        <v>93</v>
      </c>
      <c r="Q42" t="s">
        <v>96</v>
      </c>
      <c r="R42" t="s">
        <v>93</v>
      </c>
      <c r="S42" t="s">
        <v>94</v>
      </c>
      <c r="T42" t="s">
        <v>93</v>
      </c>
      <c r="U42" t="s">
        <v>93</v>
      </c>
      <c r="V42" t="s">
        <v>94</v>
      </c>
      <c r="W42" t="s">
        <v>93</v>
      </c>
      <c r="X42" t="s">
        <v>94</v>
      </c>
      <c r="Y42" t="s">
        <v>94</v>
      </c>
      <c r="AA42" t="s">
        <v>106</v>
      </c>
      <c r="AB42" t="s">
        <v>106</v>
      </c>
      <c r="AC42" t="s">
        <v>107</v>
      </c>
      <c r="AD42" t="s">
        <v>108</v>
      </c>
      <c r="AE42" t="s">
        <v>108</v>
      </c>
      <c r="AF42" t="s">
        <v>121</v>
      </c>
      <c r="AG42">
        <v>3</v>
      </c>
      <c r="AI42" t="s">
        <v>158</v>
      </c>
      <c r="AJ42">
        <v>3</v>
      </c>
      <c r="AK42">
        <v>4</v>
      </c>
      <c r="AL42">
        <v>4</v>
      </c>
      <c r="AM42" t="s">
        <v>110</v>
      </c>
      <c r="AN42">
        <v>4</v>
      </c>
      <c r="AO42">
        <v>3</v>
      </c>
      <c r="AP42">
        <v>2</v>
      </c>
      <c r="AQ42" t="s">
        <v>111</v>
      </c>
      <c r="AR42">
        <v>2</v>
      </c>
      <c r="AS42" t="s">
        <v>111</v>
      </c>
      <c r="AT42">
        <v>3</v>
      </c>
      <c r="AU42">
        <v>3</v>
      </c>
      <c r="AV42" t="s">
        <v>98</v>
      </c>
      <c r="AW42" t="s">
        <v>98</v>
      </c>
      <c r="AX42">
        <v>3</v>
      </c>
      <c r="AY42">
        <v>3</v>
      </c>
      <c r="AZ42">
        <v>3</v>
      </c>
      <c r="BA42">
        <v>2</v>
      </c>
      <c r="BB42">
        <v>4</v>
      </c>
      <c r="BC42">
        <v>3</v>
      </c>
      <c r="BD42" t="s">
        <v>98</v>
      </c>
      <c r="BE42" t="s">
        <v>98</v>
      </c>
      <c r="BF42">
        <v>3</v>
      </c>
      <c r="BG42">
        <v>4</v>
      </c>
      <c r="BH42">
        <v>4</v>
      </c>
      <c r="BI42">
        <v>3</v>
      </c>
      <c r="BJ42">
        <v>2</v>
      </c>
      <c r="BK42">
        <v>3</v>
      </c>
      <c r="BL42">
        <v>2</v>
      </c>
      <c r="BM42">
        <v>3</v>
      </c>
      <c r="BN42">
        <v>2</v>
      </c>
      <c r="BP42">
        <v>340.57</v>
      </c>
      <c r="BQ42">
        <v>170.74</v>
      </c>
      <c r="CD42">
        <v>169.83</v>
      </c>
    </row>
    <row r="43" spans="1:82" x14ac:dyDescent="0.35">
      <c r="A43">
        <v>255</v>
      </c>
      <c r="B43" t="s">
        <v>320</v>
      </c>
      <c r="C43">
        <v>2</v>
      </c>
      <c r="D43" t="s">
        <v>89</v>
      </c>
      <c r="E43">
        <v>231443410</v>
      </c>
      <c r="F43" t="s">
        <v>321</v>
      </c>
      <c r="G43" t="s">
        <v>320</v>
      </c>
      <c r="H43" t="s">
        <v>93</v>
      </c>
      <c r="I43" t="s">
        <v>94</v>
      </c>
      <c r="J43" t="s">
        <v>94</v>
      </c>
      <c r="K43" t="s">
        <v>94</v>
      </c>
      <c r="L43" t="s">
        <v>94</v>
      </c>
      <c r="M43" t="s">
        <v>94</v>
      </c>
      <c r="O43" t="s">
        <v>93</v>
      </c>
      <c r="Q43" t="s">
        <v>96</v>
      </c>
      <c r="R43" t="s">
        <v>93</v>
      </c>
      <c r="S43" t="s">
        <v>94</v>
      </c>
      <c r="T43" t="s">
        <v>93</v>
      </c>
      <c r="U43" t="s">
        <v>93</v>
      </c>
      <c r="V43" t="s">
        <v>94</v>
      </c>
      <c r="W43" t="s">
        <v>93</v>
      </c>
      <c r="X43" t="s">
        <v>94</v>
      </c>
      <c r="Y43" t="s">
        <v>94</v>
      </c>
      <c r="AA43" t="s">
        <v>106</v>
      </c>
      <c r="AB43" t="s">
        <v>107</v>
      </c>
      <c r="AC43" t="s">
        <v>106</v>
      </c>
      <c r="AD43" t="s">
        <v>121</v>
      </c>
      <c r="AE43" t="s">
        <v>121</v>
      </c>
      <c r="AF43" t="s">
        <v>121</v>
      </c>
      <c r="AG43" t="s">
        <v>121</v>
      </c>
      <c r="AI43" t="s">
        <v>109</v>
      </c>
      <c r="AJ43">
        <v>3</v>
      </c>
      <c r="AK43">
        <v>4</v>
      </c>
      <c r="AL43">
        <v>4</v>
      </c>
      <c r="AM43" t="s">
        <v>110</v>
      </c>
      <c r="AN43">
        <v>4</v>
      </c>
      <c r="AO43">
        <v>4</v>
      </c>
      <c r="AP43">
        <v>4</v>
      </c>
      <c r="AQ43">
        <v>4</v>
      </c>
      <c r="AR43">
        <v>3</v>
      </c>
      <c r="AS43">
        <v>2</v>
      </c>
      <c r="AT43">
        <v>3</v>
      </c>
      <c r="AU43">
        <v>4</v>
      </c>
      <c r="AV43">
        <v>4</v>
      </c>
      <c r="AW43">
        <v>4</v>
      </c>
      <c r="AX43">
        <v>4</v>
      </c>
      <c r="AY43" t="s">
        <v>98</v>
      </c>
      <c r="AZ43">
        <v>3</v>
      </c>
      <c r="BA43">
        <v>3</v>
      </c>
      <c r="BB43">
        <v>3</v>
      </c>
      <c r="BC43">
        <v>3</v>
      </c>
      <c r="BD43">
        <v>3</v>
      </c>
      <c r="BE43">
        <v>3</v>
      </c>
      <c r="BF43">
        <v>4</v>
      </c>
      <c r="BG43">
        <v>4</v>
      </c>
      <c r="BH43">
        <v>4</v>
      </c>
      <c r="BI43">
        <v>4</v>
      </c>
      <c r="BJ43">
        <v>4</v>
      </c>
      <c r="BK43">
        <v>4</v>
      </c>
      <c r="BL43">
        <v>4</v>
      </c>
      <c r="BM43">
        <v>4</v>
      </c>
      <c r="BN43" t="s">
        <v>99</v>
      </c>
      <c r="BP43">
        <v>295.14999999999998</v>
      </c>
      <c r="BQ43">
        <v>176.2</v>
      </c>
      <c r="CD43">
        <v>118.95</v>
      </c>
    </row>
    <row r="44" spans="1:82" x14ac:dyDescent="0.35">
      <c r="A44">
        <v>256</v>
      </c>
      <c r="B44" t="s">
        <v>324</v>
      </c>
      <c r="C44">
        <v>2</v>
      </c>
      <c r="D44" t="s">
        <v>89</v>
      </c>
      <c r="E44">
        <v>230979335</v>
      </c>
      <c r="F44" t="s">
        <v>325</v>
      </c>
      <c r="G44" t="s">
        <v>324</v>
      </c>
      <c r="H44" t="s">
        <v>93</v>
      </c>
      <c r="I44" t="s">
        <v>94</v>
      </c>
      <c r="J44" t="s">
        <v>93</v>
      </c>
      <c r="K44" t="s">
        <v>94</v>
      </c>
      <c r="L44" t="s">
        <v>94</v>
      </c>
      <c r="M44" t="s">
        <v>94</v>
      </c>
      <c r="O44" t="s">
        <v>93</v>
      </c>
      <c r="Q44" t="s">
        <v>96</v>
      </c>
      <c r="R44" t="s">
        <v>105</v>
      </c>
      <c r="S44" t="s">
        <v>94</v>
      </c>
      <c r="T44" t="s">
        <v>93</v>
      </c>
      <c r="U44" t="s">
        <v>94</v>
      </c>
      <c r="V44" t="s">
        <v>94</v>
      </c>
      <c r="W44" t="s">
        <v>93</v>
      </c>
      <c r="X44" t="s">
        <v>93</v>
      </c>
      <c r="Y44" t="s">
        <v>93</v>
      </c>
      <c r="AA44" t="s">
        <v>107</v>
      </c>
      <c r="AB44" t="s">
        <v>128</v>
      </c>
      <c r="AC44" t="s">
        <v>106</v>
      </c>
      <c r="AD44" t="s">
        <v>121</v>
      </c>
      <c r="AE44">
        <v>4</v>
      </c>
      <c r="AF44" t="s">
        <v>121</v>
      </c>
      <c r="AG44" t="s">
        <v>121</v>
      </c>
      <c r="AI44" t="s">
        <v>97</v>
      </c>
      <c r="AJ44" t="s">
        <v>130</v>
      </c>
      <c r="AK44">
        <v>2</v>
      </c>
      <c r="AL44" t="s">
        <v>110</v>
      </c>
      <c r="AM44" t="s">
        <v>110</v>
      </c>
      <c r="AN44" t="s">
        <v>98</v>
      </c>
      <c r="AO44" t="s">
        <v>98</v>
      </c>
      <c r="AP44">
        <v>2</v>
      </c>
      <c r="AQ44">
        <v>2</v>
      </c>
      <c r="AR44">
        <v>2</v>
      </c>
      <c r="AS44" t="s">
        <v>111</v>
      </c>
      <c r="AT44" t="s">
        <v>111</v>
      </c>
      <c r="AU44" t="s">
        <v>111</v>
      </c>
      <c r="AV44">
        <v>4</v>
      </c>
      <c r="AW44" t="s">
        <v>98</v>
      </c>
      <c r="AX44">
        <v>4</v>
      </c>
      <c r="AY44">
        <v>4</v>
      </c>
      <c r="AZ44">
        <v>3</v>
      </c>
      <c r="BA44">
        <v>3</v>
      </c>
      <c r="BB44" t="s">
        <v>111</v>
      </c>
      <c r="BC44" t="s">
        <v>111</v>
      </c>
      <c r="BD44" t="s">
        <v>111</v>
      </c>
      <c r="BE44" t="s">
        <v>111</v>
      </c>
      <c r="BF44" t="s">
        <v>111</v>
      </c>
      <c r="BG44">
        <v>3</v>
      </c>
      <c r="BH44" t="s">
        <v>99</v>
      </c>
      <c r="BI44" t="s">
        <v>99</v>
      </c>
      <c r="BJ44" t="s">
        <v>99</v>
      </c>
      <c r="BK44" t="s">
        <v>99</v>
      </c>
      <c r="BL44" t="s">
        <v>99</v>
      </c>
      <c r="BM44" t="s">
        <v>99</v>
      </c>
      <c r="BN44" t="s">
        <v>99</v>
      </c>
      <c r="BP44">
        <v>211.41</v>
      </c>
      <c r="BQ44">
        <v>100.35</v>
      </c>
      <c r="CD44">
        <v>111.06</v>
      </c>
    </row>
    <row r="45" spans="1:82" x14ac:dyDescent="0.35">
      <c r="A45">
        <v>257</v>
      </c>
      <c r="B45" t="s">
        <v>328</v>
      </c>
      <c r="C45">
        <v>2</v>
      </c>
      <c r="D45" t="s">
        <v>89</v>
      </c>
      <c r="E45">
        <v>761129565</v>
      </c>
      <c r="F45" t="s">
        <v>329</v>
      </c>
      <c r="G45" t="s">
        <v>328</v>
      </c>
      <c r="H45" t="s">
        <v>93</v>
      </c>
      <c r="I45" t="s">
        <v>94</v>
      </c>
      <c r="J45" t="s">
        <v>94</v>
      </c>
      <c r="K45" t="s">
        <v>94</v>
      </c>
      <c r="L45" t="s">
        <v>94</v>
      </c>
      <c r="M45" t="s">
        <v>94</v>
      </c>
      <c r="O45" t="s">
        <v>93</v>
      </c>
      <c r="Q45" t="s">
        <v>96</v>
      </c>
      <c r="R45" t="s">
        <v>93</v>
      </c>
      <c r="S45" t="s">
        <v>94</v>
      </c>
      <c r="T45" t="s">
        <v>93</v>
      </c>
      <c r="U45" t="s">
        <v>94</v>
      </c>
      <c r="V45" t="s">
        <v>94</v>
      </c>
      <c r="W45" t="s">
        <v>94</v>
      </c>
      <c r="X45" t="s">
        <v>94</v>
      </c>
      <c r="Y45" t="s">
        <v>94</v>
      </c>
      <c r="AA45" t="s">
        <v>107</v>
      </c>
      <c r="AB45" t="s">
        <v>108</v>
      </c>
      <c r="AC45" t="s">
        <v>107</v>
      </c>
      <c r="AD45" t="s">
        <v>121</v>
      </c>
      <c r="AE45" t="s">
        <v>121</v>
      </c>
      <c r="AF45" t="s">
        <v>121</v>
      </c>
      <c r="AG45" t="s">
        <v>121</v>
      </c>
      <c r="AI45" t="s">
        <v>97</v>
      </c>
      <c r="AJ45">
        <v>2</v>
      </c>
      <c r="AK45">
        <v>3</v>
      </c>
      <c r="AL45" t="s">
        <v>110</v>
      </c>
      <c r="AM45" t="s">
        <v>110</v>
      </c>
      <c r="AN45" t="s">
        <v>98</v>
      </c>
      <c r="AO45" t="s">
        <v>98</v>
      </c>
      <c r="AP45">
        <v>4</v>
      </c>
      <c r="AQ45">
        <v>3</v>
      </c>
      <c r="AR45">
        <v>2</v>
      </c>
      <c r="AS45" t="s">
        <v>111</v>
      </c>
      <c r="AT45">
        <v>2</v>
      </c>
      <c r="AU45" t="s">
        <v>111</v>
      </c>
      <c r="AV45">
        <v>3</v>
      </c>
      <c r="AW45" t="s">
        <v>111</v>
      </c>
      <c r="AX45">
        <v>4</v>
      </c>
      <c r="AY45">
        <v>4</v>
      </c>
      <c r="AZ45">
        <v>4</v>
      </c>
      <c r="BA45" t="s">
        <v>98</v>
      </c>
      <c r="BB45">
        <v>3</v>
      </c>
      <c r="BC45">
        <v>2</v>
      </c>
      <c r="BD45">
        <v>3</v>
      </c>
      <c r="BE45">
        <v>2</v>
      </c>
      <c r="BF45">
        <v>3</v>
      </c>
      <c r="BG45">
        <v>3</v>
      </c>
      <c r="BH45">
        <v>4</v>
      </c>
      <c r="BI45">
        <v>4</v>
      </c>
      <c r="BJ45">
        <v>4</v>
      </c>
      <c r="BK45">
        <v>4</v>
      </c>
      <c r="BL45">
        <v>4</v>
      </c>
      <c r="BM45">
        <v>4</v>
      </c>
      <c r="BN45">
        <v>4</v>
      </c>
      <c r="BP45">
        <v>196.38</v>
      </c>
      <c r="BQ45">
        <v>93.98</v>
      </c>
      <c r="CD45">
        <v>102.4</v>
      </c>
    </row>
    <row r="46" spans="1:82" x14ac:dyDescent="0.35">
      <c r="A46">
        <v>258</v>
      </c>
      <c r="B46" t="s">
        <v>332</v>
      </c>
      <c r="C46">
        <v>2</v>
      </c>
      <c r="D46" t="s">
        <v>89</v>
      </c>
      <c r="E46">
        <v>384565263</v>
      </c>
      <c r="F46" t="s">
        <v>333</v>
      </c>
      <c r="G46" t="s">
        <v>332</v>
      </c>
      <c r="H46" t="s">
        <v>93</v>
      </c>
      <c r="I46" t="s">
        <v>93</v>
      </c>
      <c r="J46" t="s">
        <v>94</v>
      </c>
      <c r="K46" t="s">
        <v>94</v>
      </c>
      <c r="L46" t="s">
        <v>94</v>
      </c>
      <c r="M46" t="s">
        <v>93</v>
      </c>
      <c r="O46" t="s">
        <v>94</v>
      </c>
      <c r="P46" t="s">
        <v>336</v>
      </c>
      <c r="Q46" t="s">
        <v>104</v>
      </c>
      <c r="S46" t="s">
        <v>94</v>
      </c>
      <c r="T46" t="s">
        <v>93</v>
      </c>
      <c r="U46" t="s">
        <v>94</v>
      </c>
      <c r="V46" t="s">
        <v>93</v>
      </c>
      <c r="W46" t="s">
        <v>93</v>
      </c>
      <c r="X46" t="s">
        <v>93</v>
      </c>
      <c r="Y46" t="s">
        <v>93</v>
      </c>
      <c r="AI46" t="s">
        <v>109</v>
      </c>
      <c r="AJ46" t="s">
        <v>130</v>
      </c>
      <c r="AK46">
        <v>2</v>
      </c>
      <c r="AL46" t="s">
        <v>130</v>
      </c>
      <c r="AM46" t="s">
        <v>110</v>
      </c>
      <c r="AN46">
        <v>3</v>
      </c>
      <c r="AO46">
        <v>3</v>
      </c>
      <c r="AP46">
        <v>3</v>
      </c>
      <c r="AQ46">
        <v>2</v>
      </c>
      <c r="AR46">
        <v>3</v>
      </c>
      <c r="AS46">
        <v>2</v>
      </c>
      <c r="AT46" t="s">
        <v>98</v>
      </c>
      <c r="AU46" t="s">
        <v>98</v>
      </c>
      <c r="AV46">
        <v>4</v>
      </c>
      <c r="AW46">
        <v>4</v>
      </c>
      <c r="AX46">
        <v>3</v>
      </c>
      <c r="AY46" t="s">
        <v>98</v>
      </c>
      <c r="AZ46" t="s">
        <v>98</v>
      </c>
      <c r="BA46" t="s">
        <v>98</v>
      </c>
      <c r="BB46">
        <v>4</v>
      </c>
      <c r="BC46" t="s">
        <v>98</v>
      </c>
      <c r="BD46" t="s">
        <v>98</v>
      </c>
      <c r="BE46" t="s">
        <v>98</v>
      </c>
      <c r="BF46">
        <v>4</v>
      </c>
      <c r="BG46" t="s">
        <v>98</v>
      </c>
      <c r="BH46" t="s">
        <v>99</v>
      </c>
      <c r="BI46" t="s">
        <v>99</v>
      </c>
      <c r="BJ46">
        <v>3</v>
      </c>
      <c r="BK46">
        <v>4</v>
      </c>
      <c r="BL46" t="s">
        <v>112</v>
      </c>
      <c r="BM46" t="s">
        <v>99</v>
      </c>
      <c r="BN46">
        <v>4</v>
      </c>
      <c r="BO46" t="s">
        <v>337</v>
      </c>
      <c r="BP46">
        <v>482.48</v>
      </c>
      <c r="BQ46">
        <v>94.21</v>
      </c>
      <c r="CD46">
        <v>388.27</v>
      </c>
    </row>
    <row r="48" spans="1:82" ht="13.9" x14ac:dyDescent="0.35">
      <c r="N48" s="1" t="s">
        <v>93</v>
      </c>
      <c r="O48">
        <f>COUNTIF(O2:O46,"Sí")</f>
        <v>35</v>
      </c>
      <c r="P48" s="2" t="s">
        <v>143</v>
      </c>
      <c r="Q48">
        <f>COUNTIF($Q$2:$Q$46,P48)</f>
        <v>4</v>
      </c>
      <c r="R48">
        <f>COUNTIF(R2:R46,"Sí")</f>
        <v>8</v>
      </c>
      <c r="U48">
        <f>COUNTIF(U2:U46,"Sí")</f>
        <v>9</v>
      </c>
      <c r="AH48" t="s">
        <v>158</v>
      </c>
      <c r="AI48">
        <f>COUNTIF($AI$2:$AI$46,AH48)</f>
        <v>9</v>
      </c>
    </row>
    <row r="49" spans="14:35" ht="13.9" x14ac:dyDescent="0.35">
      <c r="N49" s="1" t="s">
        <v>94</v>
      </c>
      <c r="O49">
        <f>COUNTIF(O2:O46,"No")</f>
        <v>10</v>
      </c>
      <c r="P49" s="2" t="s">
        <v>104</v>
      </c>
      <c r="Q49">
        <f t="shared" ref="Q49:Q51" si="0">COUNTIF($Q$2:$Q$46,P49)</f>
        <v>3</v>
      </c>
      <c r="R49">
        <f>COUNTIF(R2:R46,"No")</f>
        <v>6</v>
      </c>
      <c r="U49">
        <f>COUNTIF(U2:U46,"No")</f>
        <v>36</v>
      </c>
      <c r="AH49" t="s">
        <v>97</v>
      </c>
      <c r="AI49">
        <f t="shared" ref="AI49:AI50" si="1">COUNTIF($AI$2:$AI$46,AH49)</f>
        <v>25</v>
      </c>
    </row>
    <row r="50" spans="14:35" ht="13.9" x14ac:dyDescent="0.35">
      <c r="N50" s="1" t="s">
        <v>115</v>
      </c>
      <c r="P50" s="2" t="s">
        <v>120</v>
      </c>
      <c r="Q50">
        <f t="shared" si="0"/>
        <v>12</v>
      </c>
      <c r="R50">
        <f>COUNTIF(R2:R46,"Parcialmente")</f>
        <v>21</v>
      </c>
      <c r="AH50" t="s">
        <v>109</v>
      </c>
      <c r="AI50">
        <f t="shared" si="1"/>
        <v>11</v>
      </c>
    </row>
    <row r="51" spans="14:35" ht="13.9" x14ac:dyDescent="0.35">
      <c r="N51" s="1" t="s">
        <v>338</v>
      </c>
      <c r="P51" s="2" t="s">
        <v>96</v>
      </c>
      <c r="Q51">
        <f t="shared" si="0"/>
        <v>26</v>
      </c>
      <c r="R51">
        <f>COUNTBLANK(R2:R46)</f>
        <v>10</v>
      </c>
      <c r="AI51">
        <f>SUM(AI48:AI50)</f>
        <v>45</v>
      </c>
    </row>
    <row r="52" spans="14:35" ht="13.9" x14ac:dyDescent="0.35">
      <c r="N52" s="1" t="s">
        <v>339</v>
      </c>
      <c r="O52">
        <f>SUM(O48:O51)</f>
        <v>45</v>
      </c>
      <c r="Q52">
        <f>SUM(Q48:Q51)</f>
        <v>45</v>
      </c>
      <c r="R52">
        <f>SUM(R48:R51)</f>
        <v>45</v>
      </c>
      <c r="U52">
        <f>SUM(U48:U51)</f>
        <v>45</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Encuesta de ingreso a énfasis</vt:lpstr>
      <vt:lpstr>Encuesta de ingreso a énfas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2022-09-20T13:27:31Z</dcterms:created>
  <dcterms:modified xsi:type="dcterms:W3CDTF">2026-04-14T00:32:57Z</dcterms:modified>
</cp:coreProperties>
</file>