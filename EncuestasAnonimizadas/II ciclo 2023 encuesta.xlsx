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rysd\Dropbox\ComisionEvaluacionOrientacion\Enfasis\Encuestas\EncuestasAnomizadas\"/>
    </mc:Choice>
  </mc:AlternateContent>
  <xr:revisionPtr revIDLastSave="0" documentId="13_ncr:1_{517B418B-0E31-47DD-BB50-2A67ACCD8B34}" xr6:coauthVersionLast="47" xr6:coauthVersionMax="47" xr10:uidLastSave="{00000000-0000-0000-0000-000000000000}"/>
  <bookViews>
    <workbookView xWindow="-98" yWindow="-98" windowWidth="23596" windowHeight="15076" tabRatio="212" xr2:uid="{00000000-000D-0000-FFFF-FFFF00000000}"/>
  </bookViews>
  <sheets>
    <sheet name="Encuesta de ingreso a énfasis" sheetId="1" r:id="rId1"/>
  </sheets>
  <definedNames>
    <definedName name="_xlnm._FilterDatabase" localSheetId="0" hidden="1">'Encuesta de ingreso a énfasis'!$A$1:$Z$1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9" i="1" l="1"/>
  <c r="R58" i="1"/>
  <c r="R57" i="1"/>
  <c r="R56" i="1"/>
  <c r="R60" i="1" s="1"/>
  <c r="Q56" i="1"/>
  <c r="Q60" i="1" s="1"/>
  <c r="Q57" i="1"/>
  <c r="Q58" i="1"/>
  <c r="Q59" i="1"/>
  <c r="AG58" i="1"/>
  <c r="AG57" i="1"/>
  <c r="AG56" i="1"/>
  <c r="U58" i="1"/>
  <c r="U57" i="1"/>
  <c r="U56" i="1"/>
  <c r="O56" i="1"/>
  <c r="O59" i="1" s="1"/>
  <c r="O57" i="1"/>
  <c r="O58" i="1"/>
  <c r="U59" i="1" l="1"/>
</calcChain>
</file>

<file path=xl/sharedStrings.xml><?xml version="1.0" encoding="utf-8"?>
<sst xmlns="http://schemas.openxmlformats.org/spreadsheetml/2006/main" count="1763" uniqueCount="260">
  <si>
    <t>ID de respuesta</t>
  </si>
  <si>
    <t>Fecha de envío</t>
  </si>
  <si>
    <t>Última página</t>
  </si>
  <si>
    <t>Lenguaje inicial</t>
  </si>
  <si>
    <t>Semilla</t>
  </si>
  <si>
    <t>Fecha de inicio</t>
  </si>
  <si>
    <t>Fecha de la última acción</t>
  </si>
  <si>
    <t>¿Por cuáles medios se enteró de las actividades informativas de énfasis? [Correo institucional UCR]</t>
  </si>
  <si>
    <t>¿Por cuáles medios se enteró de las actividades informativas de énfasis? [Página web de la ECCI]</t>
  </si>
  <si>
    <t>¿Por cuáles medios se enteró de las actividades informativas de énfasis? [Redes sociales de la ECCI]</t>
  </si>
  <si>
    <t>¿Por cuáles medios se enteró de las actividades informativas de énfasis? [Plataforma Element]</t>
  </si>
  <si>
    <t>¿Por cuáles medios se enteró de las actividades informativas de énfasis? [Docentes]</t>
  </si>
  <si>
    <t>¿Por cuáles medios se enteró de las actividades informativas de énfasis? [Compañeros o amigos]</t>
  </si>
  <si>
    <t>¿Por cuáles medios se enteró de las actividades informativas de énfasis? [Otro]</t>
  </si>
  <si>
    <t>¿Asistió a alguna actividad realizada por los énfasis?</t>
  </si>
  <si>
    <t>Comente por qué no asistió a las actividades realizadas por los énfasis. </t>
  </si>
  <si>
    <t>¿En cuál semestre de la carrera tomó la decisión sobre el énfasis?</t>
  </si>
  <si>
    <t>¿Considera que las actividades realizadas por los énfasis influyeron en su elección?</t>
  </si>
  <si>
    <t>¿Cuáles factores influyeron en su decisión de elección de énfasis? [Interacciones con profesores]</t>
  </si>
  <si>
    <t>¿Cuáles factores influyeron en su decisión de elección de énfasis? [Cursos que ha llevado hasta el momento]</t>
  </si>
  <si>
    <t>¿Cuáles factores influyeron en su decisión de elección de énfasis? [Actividades organizadas por la ECCI]</t>
  </si>
  <si>
    <t>¿Cuáles factores influyeron en su decisión de elección de énfasis? [Interacción con estudiantes avanzados en la carrera]</t>
  </si>
  <si>
    <t>¿Cuáles factores influyeron en su decisión de elección de énfasis? [Análisis del plan de estudios de cada énfasis]</t>
  </si>
  <si>
    <t>¿Cuáles factores influyeron en su decisión de elección de énfasis? [Expectativa de obtener un empleo bien remunerado]</t>
  </si>
  <si>
    <t>¿Cuáles factores influyeron en su decisión de elección de énfasis? [Oferta de puestos disponibles en la industria]</t>
  </si>
  <si>
    <t>¿Cuáles factores influyeron en su decisión de elección de énfasis? [Otro]</t>
  </si>
  <si>
    <t>Indique el impacto que tuvieron las actividades realizadas por los énfasis en su decisión: [Actividades del Énfasis de IS]</t>
  </si>
  <si>
    <t>Indique el impacto que tuvieron las actividades realizadas por los énfasis en su decisión: [Actividades del Énfasis de ITI]</t>
  </si>
  <si>
    <t>Indique el impacto que tuvieron las actividades realizadas por los énfasis en su decisión: [Actividades del Énfasis de CC]</t>
  </si>
  <si>
    <t>Indique qué tan útiles fueron las siguientes actividades: [Charla introductoria de los énfasis]</t>
  </si>
  <si>
    <t>Indique qué tan útiles fueron las siguientes actividades: [Charla del proceso administrativo]</t>
  </si>
  <si>
    <t>Comente brevemente por qué considera que fueron poco útiles las actividades indicadas en la pregunta anterior.</t>
  </si>
  <si>
    <t>¿Cuál énfasis va a elegir?</t>
  </si>
  <si>
    <t>Valore la dificultad de aprobar los siguientes semestres (ciclos) de la carrera si se lleva el bloque completo, usando una escala de 1 a 5 (donde 1 es muy fácil y 5 es muy difícil).  [I ciclo Introducción a la Computación + Introducción a la Matemática para Computación + Generales + Inglés + Deportiva]</t>
  </si>
  <si>
    <t>Valore la dificultad de aprobar los siguientes semestres (ciclos) de la carrera si se lleva el bloque completo, usando una escala de 1 a 5 (donde 1 es muy fácil y 5 es muy difícil).  [II ciclo Estructuras Discretas + Programación 1 + Cálculo 1 + Generales]</t>
  </si>
  <si>
    <t>Valore la dificultad de aprobar los siguientes semestres (ciclos) de la carrera si se lleva el bloque completo, usando una escala de 1 a 5 (donde 1 es muy fácil y 5 es muy difícil).  [III ciclo Programación 2 + Fundamentos de Arquitectura + Cálculo 2 + Álgebra Lineal + Seminario de Realidad Nacional]</t>
  </si>
  <si>
    <t>Valore la dificultad de aprobar los siguientes semestres (ciclos) de la carrera si se lleva el bloque completo, usando una escala de 1 a 5 (donde 1 es muy fácil y 5 es muy difícil).  [IV ciclo Programación Paralela y Concurrente + Análisis de Algoritmos y Estructuras de Datos + Probabilidad y Estadística + Lenguaje Ensamblador + Proyecto Integrador de Ensambla-Arqui]</t>
  </si>
  <si>
    <t>Califique el dominio que tiene de las siguientes áreas de conocimiento y qué tan efectiva fue su enseñanza. Use una escala de 1 a 5, donde 1 es muy bajo y 5 es muy alto. [Programación][Eje 1]</t>
  </si>
  <si>
    <t>Califique el dominio que tiene de las siguientes áreas de conocimiento y qué tan efectiva fue su enseñanza. Use una escala de 1 a 5, donde 1 es muy bajo y 5 es muy alto. [Programación][Eje 2]</t>
  </si>
  <si>
    <t>Califique el dominio que tiene de las siguientes áreas de conocimiento y qué tan efectiva fue su enseñanza. Use una escala de 1 a 5, donde 1 es muy bajo y 5 es muy alto. [Estructuras discretas][Eje 1]</t>
  </si>
  <si>
    <t>Califique el dominio que tiene de las siguientes áreas de conocimiento y qué tan efectiva fue su enseñanza. Use una escala de 1 a 5, donde 1 es muy bajo y 5 es muy alto. [Estructuras discretas][Eje 2]</t>
  </si>
  <si>
    <t>Califique el dominio que tiene de las siguientes áreas de conocimiento y qué tan efectiva fue su enseñanza. Use una escala de 1 a 5, donde 1 es muy bajo y 5 es muy alto. [Fundamentos de arquitectura][Eje 1]</t>
  </si>
  <si>
    <t>Califique el dominio que tiene de las siguientes áreas de conocimiento y qué tan efectiva fue su enseñanza. Use una escala de 1 a 5, donde 1 es muy bajo y 5 es muy alto. [Fundamentos de arquitectura][Eje 2]</t>
  </si>
  <si>
    <t>Califique el dominio que tiene de las siguientes áreas de conocimiento y qué tan efectiva fue su enseñanza. Use una escala de 1 a 5, donde 1 es muy bajo y 5 es muy alto. [Lenguaje Ensamblador][Eje 1]</t>
  </si>
  <si>
    <t>Califique el dominio que tiene de las siguientes áreas de conocimiento y qué tan efectiva fue su enseñanza. Use una escala de 1 a 5, donde 1 es muy bajo y 5 es muy alto. [Lenguaje Ensamblador][Eje 2]</t>
  </si>
  <si>
    <t>Califique el dominio que tiene de las siguientes áreas de conocimiento y qué tan efectiva fue su enseñanza. Use una escala de 1 a 5, donde 1 es muy bajo y 5 es muy alto. [Análisis de algoritmos y estructuras de datos][Eje 1]</t>
  </si>
  <si>
    <t>Califique el dominio que tiene de las siguientes áreas de conocimiento y qué tan efectiva fue su enseñanza. Use una escala de 1 a 5, donde 1 es muy bajo y 5 es muy alto. [Análisis de algoritmos y estructuras de datos][Eje 2]</t>
  </si>
  <si>
    <t>Califique el dominio que tiene de las siguientes áreas de conocimiento y qué tan efectiva fue su enseñanza. Use una escala de 1 a 5, donde 1 es muy bajo y 5 es muy alto. [Programación paralela y concurrente][Eje 1]</t>
  </si>
  <si>
    <t>Califique el dominio que tiene de las siguientes áreas de conocimiento y qué tan efectiva fue su enseñanza. Use una escala de 1 a 5, donde 1 es muy bajo y 5 es muy alto. [Programación paralela y concurrente][Eje 2]</t>
  </si>
  <si>
    <t>Califique el dominio que tiene de las siguientes áreas de conocimiento y qué tan efectiva fue su enseñanza. Use una escala de 1 a 5, donde 1 es muy bajo y 5 es muy alto. [Introducción a la matemática para computación][Eje 1]</t>
  </si>
  <si>
    <t>Califique el dominio que tiene de las siguientes áreas de conocimiento y qué tan efectiva fue su enseñanza. Use una escala de 1 a 5, donde 1 es muy bajo y 5 es muy alto. [Introducción a la matemática para computación][Eje 2]</t>
  </si>
  <si>
    <t>Califique el dominio que tiene de las siguientes áreas de conocimiento y qué tan efectiva fue su enseñanza. Use una escala de 1 a 5, donde 1 es muy bajo y 5 es muy alto. [Álgebra lineal][Eje 1]</t>
  </si>
  <si>
    <t>Califique el dominio que tiene de las siguientes áreas de conocimiento y qué tan efectiva fue su enseñanza. Use una escala de 1 a 5, donde 1 es muy bajo y 5 es muy alto. [Álgebra lineal][Eje 2]</t>
  </si>
  <si>
    <t>Califique el dominio que tiene de las siguientes áreas de conocimiento y qué tan efectiva fue su enseñanza. Use una escala de 1 a 5, donde 1 es muy bajo y 5 es muy alto. [Cálculo diferencial e integral][Eje 1]</t>
  </si>
  <si>
    <t>Califique el dominio que tiene de las siguientes áreas de conocimiento y qué tan efectiva fue su enseñanza. Use una escala de 1 a 5, donde 1 es muy bajo y 5 es muy alto. [Cálculo diferencial e integral][Eje 2]</t>
  </si>
  <si>
    <t>Califique el dominio que tiene de las siguientes áreas de conocimiento y qué tan efectiva fue su enseñanza. Use una escala de 1 a 5, donde 1 es muy bajo y 5 es muy alto. [Probabilidad y estadística][Eje 1]</t>
  </si>
  <si>
    <t>Califique el dominio que tiene de las siguientes áreas de conocimiento y qué tan efectiva fue su enseñanza. Use una escala de 1 a 5, donde 1 es muy bajo y 5 es muy alto. [Probabilidad y estadística][Eje 2]</t>
  </si>
  <si>
    <t>Indique qué tanto ha mejorado las siguientes habilidades o actitudes desde que inició la carrera. Use una escala de 1 a 5, donde 1 es el puntaje más bajo y 5 es el puntaje más alto. [Capacidad de trabajar en equipos]</t>
  </si>
  <si>
    <t>Indique qué tanto ha mejorado las siguientes habilidades o actitudes desde que inició la carrera. Use una escala de 1 a 5, donde 1 es el puntaje más bajo y 5 es el puntaje más alto. [Actitud ética, con responsabilidad profesional y compromiso social]</t>
  </si>
  <si>
    <t>Indique qué tanto ha mejorado las siguientes habilidades o actitudes desde que inició la carrera. Use una escala de 1 a 5, donde 1 es el puntaje más bajo y 5 es el puntaje más alto. [Comunicación asertiva]</t>
  </si>
  <si>
    <t>Indique qué tanto ha mejorado las siguientes habilidades o actitudes desde que inició la carrera. Use una escala de 1 a 5, donde 1 es el puntaje más bajo y 5 es el puntaje más alto. [Perseverancia]</t>
  </si>
  <si>
    <t>Indique qué tanto ha mejorado las siguientes habilidades o actitudes desde que inició la carrera. Use una escala de 1 a 5, donde 1 es el puntaje más bajo y 5 es el puntaje más alto. [Disciplina]</t>
  </si>
  <si>
    <t>Indique qué tanto ha mejorado las siguientes habilidades o actitudes desde que inició la carrera. Use una escala de 1 a 5, donde 1 es el puntaje más bajo y 5 es el puntaje más alto. [Colaboración]</t>
  </si>
  <si>
    <t>Indique qué tanto ha mejorado las siguientes habilidades o actitudes desde que inició la carrera. Use una escala de 1 a 5, donde 1 es el puntaje más bajo y 5 es el puntaje más alto. [Responsabilidad]</t>
  </si>
  <si>
    <t>Cualquier comentario o sugerencia que tenga sobre los dos primeros años del plan de estudios que ha cursado, será bienvenido. Por favor escríbalo aquí.</t>
  </si>
  <si>
    <t>Tiempo total</t>
  </si>
  <si>
    <t>Temporización del grupo: Información general</t>
  </si>
  <si>
    <t>Temporización de la pregunta: I01</t>
  </si>
  <si>
    <t>Temporización de la pregunta: I02</t>
  </si>
  <si>
    <t>Temporización de la pregunta: PC01</t>
  </si>
  <si>
    <t>Temporización de la pregunta: I03</t>
  </si>
  <si>
    <t>Temporización de la pregunta: NA01</t>
  </si>
  <si>
    <t>Temporización de la pregunta: I04</t>
  </si>
  <si>
    <t>Temporización de la pregunta: S05</t>
  </si>
  <si>
    <t>Temporización de la pregunta: I06</t>
  </si>
  <si>
    <t>Temporización de la pregunta: S07</t>
  </si>
  <si>
    <t>Temporización de la pregunta: S08</t>
  </si>
  <si>
    <t>Temporización de la pregunta: S09</t>
  </si>
  <si>
    <t>Temporización de la pregunta: I10</t>
  </si>
  <si>
    <t>Temporización del grupo: Retroalimentación sobre los dos primeros años del plan de estudios</t>
  </si>
  <si>
    <t>Temporización de la pregunta: R01</t>
  </si>
  <si>
    <t>Temporización de la pregunta: R02</t>
  </si>
  <si>
    <t>Temporización de la pregunta: R03</t>
  </si>
  <si>
    <t>Temporización de la pregunta: R04</t>
  </si>
  <si>
    <t>2023-11-06 16:33:55</t>
  </si>
  <si>
    <t>es</t>
  </si>
  <si>
    <t>2023-11-06 16:27:26</t>
  </si>
  <si>
    <t>Sí</t>
  </si>
  <si>
    <t>No</t>
  </si>
  <si>
    <t>No tuve tiempo.</t>
  </si>
  <si>
    <t>II semestre del 2do año</t>
  </si>
  <si>
    <t>CC: Ciencias de la Computación</t>
  </si>
  <si>
    <t>Muy fácil: 1</t>
  </si>
  <si>
    <t>Muy difícil: 5</t>
  </si>
  <si>
    <t>Muy alto 5</t>
  </si>
  <si>
    <t>He mejorado mucho: 5</t>
  </si>
  <si>
    <t>2023-11-06 16:38:46</t>
  </si>
  <si>
    <t>2023-11-06 16:36:34</t>
  </si>
  <si>
    <t>Ya había decidido cuál énfasis quería</t>
  </si>
  <si>
    <t>II semestre del 1er año</t>
  </si>
  <si>
    <t>2023-11-06 17:26:34</t>
  </si>
  <si>
    <t>2023-11-06 17:22:55</t>
  </si>
  <si>
    <t>Parcialmente</t>
  </si>
  <si>
    <t>5 - Muy útil</t>
  </si>
  <si>
    <t>IS: Ingeniería de Software</t>
  </si>
  <si>
    <t>2023-11-06 21:34:50</t>
  </si>
  <si>
    <t>2023-11-06 21:27:12</t>
  </si>
  <si>
    <t>I semestre del 1er año</t>
  </si>
  <si>
    <t>Desde el primer día era el más interesante, con amplia diferencia</t>
  </si>
  <si>
    <t>1 - Nada útil</t>
  </si>
  <si>
    <t>La charla se dedica, incansablemente, a difuminar cualquier diferenciación que pueda establecer la persona estudiante entre los énfasis. Como estudiantes comprendemos que hay cosas en común entre los 3, y que nunca van a querer que uno quede pintado como "el énfasis aburrido", pero el propósito de estas charlas debería de ser ayudarnos a decidir, vendernos cada uno, hablar de pros y contras; no pretender que son los tres la misma cosa y tratar de irrelevante esta decisión que tenemos en frente.</t>
  </si>
  <si>
    <t>Muy bajo 1</t>
  </si>
  <si>
    <t>2023-11-07 12:12:00</t>
  </si>
  <si>
    <t>2023-11-07 11:54:44</t>
  </si>
  <si>
    <t>Se realizan los miércoles y no vengo o tengo trabajos</t>
  </si>
  <si>
    <t>I semestre del 2do año</t>
  </si>
  <si>
    <t>Las demás opciones no aplicaban o simplemente no la considere, los aspectos laborales no los tome en cuenta, y los aspectos personales no se presentaron</t>
  </si>
  <si>
    <t>Intro fue muy poco util, progra 1 limitan mucho el aprendizaje, podrían haber proyectos más entretenidos</t>
  </si>
  <si>
    <t>2023-11-07 14:44:04</t>
  </si>
  <si>
    <t>2023-11-07 14:40:11</t>
  </si>
  <si>
    <t>No asistí</t>
  </si>
  <si>
    <t>2023-11-07 17:08:06</t>
  </si>
  <si>
    <t>N/A</t>
  </si>
  <si>
    <t>2023-11-08 09:07:40</t>
  </si>
  <si>
    <t>2023-11-08 08:42:28</t>
  </si>
  <si>
    <t>Yo ya sabía que enfásis deseo llevar.</t>
  </si>
  <si>
    <t>No  fueron poco útiles, pero no los tomé en cuenta.</t>
  </si>
  <si>
    <t>En mi opinión, ya que en computación tenemos cursos de cálculo propios de la carrera, debería haber tareas programadas (en python) en cálculo 1 y 2. Porque para mi, los dos cursos de cálculo se "quedaron en papel" (aunque me haya ido bien en  calculo 1 y 2). 
Durante los primeros dos años, deberia haber algún acercamiento a IT, para mi generación (C2), IT es un enfásis "raro", ya que no estamos familiarizados con trabajar con hardware, solo con software (los cursos de arquitectura y ensamblador, no son cursos prácticos, sino teóricos). 
Programación Paralela y Concurrente es un curso *peculiar*, me hubiera gustado más si fuera un curso normal, con clases en un aula (como todos los demás cursos), sin esa combinación de horas de vídeos de jeisson para cada tema + clases presenciales + n ejercicios semanales (en clase y fuera de clase, algunos tan largos que podrian ser tareas) + 4 tareas largas + 2 proyectos (sinceramente dificiles) + tener todos los ejemplos de jeisson.work comentados en doxygen. En mi humilde opinión, no hay razón para que ese curso sea así, es contraproducente. Pero es solo mi opinión.</t>
  </si>
  <si>
    <t>2023-11-08 14:00:38</t>
  </si>
  <si>
    <t>2023-11-08 13:57:18</t>
  </si>
  <si>
    <t>2023-11-08 16:11:36</t>
  </si>
  <si>
    <t>2023-11-09 14:34:01</t>
  </si>
  <si>
    <t>2023-11-09 14:29:52</t>
  </si>
  <si>
    <t>2023-11-09 14:36:41</t>
  </si>
  <si>
    <t>2023-11-09 14:32:03</t>
  </si>
  <si>
    <t>2023-11-09 14:40:02</t>
  </si>
  <si>
    <t>2023-11-09 14:35:49</t>
  </si>
  <si>
    <t>2023-11-09 14:38:02</t>
  </si>
  <si>
    <t>2023-11-09 14:36:26</t>
  </si>
  <si>
    <t>2023-11-10 12:25:57</t>
  </si>
  <si>
    <t>2023-11-10 12:12:08</t>
  </si>
  <si>
    <t>investigación por internet</t>
  </si>
  <si>
    <t>ITI: Ingeniería de Tecnologías de la Información</t>
  </si>
  <si>
    <t>me parece que el curso de lenguaje ensamblador debe de cambiar de enfoque a enseñar como se relaciona con los lenguajes de programacion y a entenderlo. No a programar en ese lenguaje ya que no tiene ningun valor programar en ensamblador.</t>
  </si>
  <si>
    <t>2023-11-10 13:01:36</t>
  </si>
  <si>
    <t>2023-11-10 12:57:32</t>
  </si>
  <si>
    <t>Los cursos del énfasis</t>
  </si>
  <si>
    <t>No asistí, no opino</t>
  </si>
  <si>
    <t>No requerí hacer muchos trabajos en equipo</t>
  </si>
  <si>
    <t>2023-11-10 13:20:48</t>
  </si>
  <si>
    <t>2023-11-10 13:16:40</t>
  </si>
  <si>
    <t>2023-11-10 14:24:20</t>
  </si>
  <si>
    <t>2023-11-10 15:13:46</t>
  </si>
  <si>
    <t>2023-11-10 15:09:28</t>
  </si>
  <si>
    <t>Ya tenía definido a cuál énfasis quería entrar desde antes de ingresar a la universidad</t>
  </si>
  <si>
    <t>Sería bueno incluir precálculo como opcional. Yo lo llevé en el colegio y me fue de mucha ayuda, pero sé que no todos hacen eso y veo que les cuesta un poco más entrar directo a cálculo.</t>
  </si>
  <si>
    <t>2023-11-10 23:24:10</t>
  </si>
  <si>
    <t>2023-11-10 23:16:26</t>
  </si>
  <si>
    <t>No me quedo mucho tiempo para asistir</t>
  </si>
  <si>
    <t>No he mejorado: 1</t>
  </si>
  <si>
    <t>2023-11-11 09:31:31</t>
  </si>
  <si>
    <t>2023-11-11 09:26:16</t>
  </si>
  <si>
    <t>Son útiles, sólo que no asistí a la administrativa.</t>
  </si>
  <si>
    <t>Me gustaría mucho que abrieran más cursos en verano, y que de ser posible, enseñarán cursos como Qt, para que el estudiante no tuviera que llegar a aprenderlos durante los PI.</t>
  </si>
  <si>
    <t>2023-11-11 10:39:55</t>
  </si>
  <si>
    <t>2023-11-11 10:36:12</t>
  </si>
  <si>
    <t>2023-11-12 21:46:32</t>
  </si>
  <si>
    <t>2023-11-12 21:41:59</t>
  </si>
  <si>
    <t>Basicamente dijeron que cualquiera sirve y no dijeron por que seria mejor una o otra, o que cosas deberian guiarlo por un enfasis</t>
  </si>
  <si>
    <t>2023-11-13 10:58:02</t>
  </si>
  <si>
    <t>2023-11-13 10:53:52</t>
  </si>
  <si>
    <t>Choque entre el horario de las actividades y cursos.</t>
  </si>
  <si>
    <t>2023-11-13 13:31:15</t>
  </si>
  <si>
    <t>2023-11-13 13:22:36</t>
  </si>
  <si>
    <t>2023-11-13 14:18:56</t>
  </si>
  <si>
    <t>2023-11-13 14:15:49</t>
  </si>
  <si>
    <t>Ya había asistido anteriormente.</t>
  </si>
  <si>
    <t>2023-11-13 14:19:35</t>
  </si>
  <si>
    <t>2023-11-13 14:16:01</t>
  </si>
  <si>
    <t>Al ser realizadas alrededor de las preguntas de los estudiantes no dijeron mucho sobre los enfásis en sí a nivel general como por ejemplo: que se hace en cada enfásis.</t>
  </si>
  <si>
    <t>2023-11-13 21:16:11</t>
  </si>
  <si>
    <t>2023-11-13 21:12:05</t>
  </si>
  <si>
    <t>2023-11-14 08:52:34</t>
  </si>
  <si>
    <t>2023-11-14 08:49:17</t>
  </si>
  <si>
    <t>No hay suficiente explicación, llegan a ser muy vagas</t>
  </si>
  <si>
    <t>Eliminen Álgebra, gracias</t>
  </si>
  <si>
    <t>2023-11-14 10:28:54</t>
  </si>
  <si>
    <t>2023-11-14 10:10:01</t>
  </si>
  <si>
    <t>Considero que se comentaron cosas que los estudiantes ya sabíamos.</t>
  </si>
  <si>
    <t>Los cursos que se dan en colaboración con la escuela de matemática deberían tener enfoques prácticos dirigidos a casos de computación, para estimular más el interés del estudiante. Como carrera que pertenece al área de Ingeniería, veo fundamental la incorporación de la física en uno de los cursos que existen o, bien, en uno nuevo; el cálculo y álgebra lineal son insuficientes, a mi parecer. Sería excelente que lográramos salir conociendo, a fondo, las bases de esa parte en la que muchos aspiramos a trabajar (NASA, CERN, ESA, etc). Además, en la actualidad estamos viviendo cambios vertiginosos en la tecnología con las últimas innovaciones que hasta hace poco muchos creíamos lejanas; la ECCI, como pilar de Costa Rica en la generación de mano de obra cualificada, no puede quedarse atrás, es esencial que incorporen aprendizaje y uso de tales avances, como ya se hace en las grandes universidades de América del Norte y Europa, donde, gracias a lo que se enseña, se innova: ¡Seamos pioneros!</t>
  </si>
  <si>
    <t>2023-11-14 13:37:05</t>
  </si>
  <si>
    <t>2023-11-14 13:28:40</t>
  </si>
  <si>
    <t>Llevar 2 matemáticas juntas en el mismo semestre es bastante rudo tomando en cuenta la dificultad que puede tener programación 2</t>
  </si>
  <si>
    <t>2023-11-14 13:41:58</t>
  </si>
  <si>
    <t>2023-11-14 13:31:32</t>
  </si>
  <si>
    <t>No fue muy claro la forma en la que se debía llenar los documentos.</t>
  </si>
  <si>
    <t>El primer año de la carrera no demuestra la dificultad y los alcances del segundo año,</t>
  </si>
  <si>
    <t>2023-11-14 14:51:28</t>
  </si>
  <si>
    <t>2023-11-14 14:49:04</t>
  </si>
  <si>
    <t>No lo considero necesario.</t>
  </si>
  <si>
    <t>2023-11-14 15:15:47</t>
  </si>
  <si>
    <t>2023-11-14 15:06:18</t>
  </si>
  <si>
    <t>-</t>
  </si>
  <si>
    <t>2023-11-14 15:10:21</t>
  </si>
  <si>
    <t>2023-11-14 15:06:54</t>
  </si>
  <si>
    <t>2023-11-14 15:15:46</t>
  </si>
  <si>
    <t>2023-11-14 15:08:00</t>
  </si>
  <si>
    <t>2023-11-14 20:38:35</t>
  </si>
  <si>
    <t>2023-11-14 20:33:13</t>
  </si>
  <si>
    <t>No tenía disponibilidad</t>
  </si>
  <si>
    <t>2023-11-14 23:59:06</t>
  </si>
  <si>
    <t>2023-11-14 23:52:16</t>
  </si>
  <si>
    <t>2023-11-15 11:04:18</t>
  </si>
  <si>
    <t>2023-11-15 11:01:01</t>
  </si>
  <si>
    <t>Porque dejan claro de qué se trata cada énfasis.</t>
  </si>
  <si>
    <t>2023-11-15 16:55:29</t>
  </si>
  <si>
    <t>2023-11-15 14:58:09</t>
  </si>
  <si>
    <t>Fecha de reunión era día de trabajo</t>
  </si>
  <si>
    <t>Muchas trabas para llevar cursos de otros bloques posibilidad de más tiempo sin terminar la carrera</t>
  </si>
  <si>
    <t>N/a</t>
  </si>
  <si>
    <t>El requisito de calculo 1 en paralela no tiene fundamento o es innecesario pues no se usa o solo se explica para entender que hay un límite en la optomizacion con paralelismo y así con otros cursos, en paralela sería de ayuda si en progra 2 se enseñará c y c++ no solo c++ aunque igual se puede adaptar brinda mayor facilidad para las tareas, ha mejorado la pedagogía y aunque no es de la Ecci sino de  la EMAT igual acá he visto una mejora al enseñar los cálculos,</t>
  </si>
  <si>
    <t>2023-11-15 20:49:56</t>
  </si>
  <si>
    <t>2023-11-15 20:44:41</t>
  </si>
  <si>
    <t>Por los horarios de las actividades no me coincidían con el tiempo que estaba en la universidad, asimismo que hubo muy pocas que eran virtuales.</t>
  </si>
  <si>
    <t>2023-11-15 23:34:18</t>
  </si>
  <si>
    <t>2023-11-15 23:31:38</t>
  </si>
  <si>
    <t>2023-11-16 10:42:53</t>
  </si>
  <si>
    <t>2023-11-16 10:39:10</t>
  </si>
  <si>
    <t>No me di cuenta</t>
  </si>
  <si>
    <t>Uniformidad en los métodos de enseñanza</t>
  </si>
  <si>
    <t>2023-11-16 19:43:34</t>
  </si>
  <si>
    <t>2023-11-16 19:39:50</t>
  </si>
  <si>
    <t>Me chocaba con las clases que tenía</t>
  </si>
  <si>
    <t>2023-11-16 21:31:28</t>
  </si>
  <si>
    <t>2023-11-16 21:25:44</t>
  </si>
  <si>
    <t>2023-11-17 02:39:27</t>
  </si>
  <si>
    <t>2023-11-17 02:34:49</t>
  </si>
  <si>
    <t>2023-11-17 07:19:56</t>
  </si>
  <si>
    <t>2023-11-17 07:16:25</t>
  </si>
  <si>
    <t>2023-11-17 07:55:14</t>
  </si>
  <si>
    <t>2023-11-17 07:52:30</t>
  </si>
  <si>
    <t>Falta de tiempo</t>
  </si>
  <si>
    <t>No se les dio la relevancia suficiente</t>
  </si>
  <si>
    <t>2023-11-17 14:12:19</t>
  </si>
  <si>
    <t>2023-11-17 14:06:42</t>
  </si>
  <si>
    <t>Pocas opiniones de estudiantes</t>
  </si>
  <si>
    <t>Mejor comunicación con el estudiante</t>
  </si>
  <si>
    <t>2023-11-17 22:30:59</t>
  </si>
  <si>
    <t>2023-11-17 22:25:06</t>
  </si>
  <si>
    <t>Fueron útiles.</t>
  </si>
  <si>
    <t>El II ciclo del II año, si se lleva completo, exige demasiado tiempo. Pienso que ha afectado negativamente, en temas de falta descanso y aumento de estrés, mi salud y la de mis compañeros.</t>
  </si>
  <si>
    <t>2023-11-18 09:55:59</t>
  </si>
  <si>
    <t>2023-11-18 09:52:37</t>
  </si>
  <si>
    <t>Charla</t>
  </si>
  <si>
    <t>El proceso intimida un poco entonces ayuda saber como es</t>
  </si>
  <si>
    <t>2023-11-18 18:43:04</t>
  </si>
  <si>
    <t>2023-11-18 18:36:54</t>
  </si>
  <si>
    <t>2023-11-18 22:48:57</t>
  </si>
  <si>
    <t>2023-11-18 22:49:04</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</si>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</sst>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F60"/>
  <sheetViews>
    <sheetView tabSelected="1" topLeftCell="A22" zoomScaleNormal="100" workbookViewId="0">
      <selection activeCell="H1" sqref="H1:I1048576"/>
    </sheetView>
  </sheetViews>
  <sheetFormatPr baseColWidth="10" defaultRowHeight="12.75" x14ac:dyDescent="0.35"/>
  <cols>
    <col min="1" max="16" width="11.46484375"/>
    <col min="17" max="17" width="20" customWidth="1"/>
    <col min="18" max="1022" width="11.46484375"/>
  </cols>
  <sheetData>
    <row r="1" spans="1:8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row>
    <row r="2" spans="1:84" x14ac:dyDescent="0.35">
      <c r="A2">
        <v>29</v>
      </c>
      <c r="B2" t="s">
        <v>182</v>
      </c>
      <c r="C2">
        <v>2</v>
      </c>
      <c r="D2" t="s">
        <v>85</v>
      </c>
      <c r="E2">
        <v>1589375662</v>
      </c>
      <c r="F2" t="s">
        <v>183</v>
      </c>
      <c r="G2" t="s">
        <v>182</v>
      </c>
      <c r="H2" t="s">
        <v>87</v>
      </c>
      <c r="I2" t="s">
        <v>88</v>
      </c>
      <c r="J2" t="s">
        <v>87</v>
      </c>
      <c r="K2" t="s">
        <v>88</v>
      </c>
      <c r="L2" t="s">
        <v>87</v>
      </c>
      <c r="M2" t="s">
        <v>87</v>
      </c>
      <c r="O2" t="s">
        <v>87</v>
      </c>
      <c r="Q2" t="s">
        <v>115</v>
      </c>
      <c r="R2" t="s">
        <v>102</v>
      </c>
      <c r="S2" t="s">
        <v>87</v>
      </c>
      <c r="T2" t="s">
        <v>87</v>
      </c>
      <c r="U2" t="s">
        <v>87</v>
      </c>
      <c r="V2" t="s">
        <v>87</v>
      </c>
      <c r="W2" t="s">
        <v>87</v>
      </c>
      <c r="X2" t="s">
        <v>87</v>
      </c>
      <c r="Y2" t="s">
        <v>87</v>
      </c>
      <c r="AG2" t="s">
        <v>91</v>
      </c>
      <c r="AH2" t="s">
        <v>92</v>
      </c>
      <c r="AI2">
        <v>2</v>
      </c>
      <c r="AJ2">
        <v>3</v>
      </c>
      <c r="AK2" t="s">
        <v>93</v>
      </c>
      <c r="AL2">
        <v>4</v>
      </c>
      <c r="AM2">
        <v>4</v>
      </c>
      <c r="AN2">
        <v>4</v>
      </c>
      <c r="AO2">
        <v>4</v>
      </c>
      <c r="AP2">
        <v>2</v>
      </c>
      <c r="AQ2">
        <v>3</v>
      </c>
      <c r="AR2">
        <v>3</v>
      </c>
      <c r="AS2">
        <v>3</v>
      </c>
      <c r="AT2">
        <v>4</v>
      </c>
      <c r="AU2">
        <v>4</v>
      </c>
      <c r="AV2">
        <v>3</v>
      </c>
      <c r="AW2">
        <v>3</v>
      </c>
      <c r="AX2" t="s">
        <v>94</v>
      </c>
      <c r="AY2">
        <v>4</v>
      </c>
      <c r="AZ2">
        <v>2</v>
      </c>
      <c r="BA2">
        <v>4</v>
      </c>
      <c r="BB2" t="s">
        <v>94</v>
      </c>
      <c r="BC2" t="s">
        <v>94</v>
      </c>
      <c r="BD2">
        <v>4</v>
      </c>
      <c r="BE2">
        <v>4</v>
      </c>
      <c r="BF2">
        <v>4</v>
      </c>
      <c r="BG2">
        <v>4</v>
      </c>
      <c r="BH2" t="s">
        <v>95</v>
      </c>
      <c r="BI2" t="s">
        <v>95</v>
      </c>
      <c r="BJ2" t="s">
        <v>95</v>
      </c>
      <c r="BK2" t="s">
        <v>95</v>
      </c>
      <c r="BL2" t="s">
        <v>95</v>
      </c>
      <c r="BN2">
        <v>387.19</v>
      </c>
      <c r="BO2">
        <v>202.85</v>
      </c>
      <c r="CB2">
        <v>184.34</v>
      </c>
    </row>
    <row r="3" spans="1:84" x14ac:dyDescent="0.35">
      <c r="A3">
        <v>27</v>
      </c>
      <c r="B3" t="s">
        <v>177</v>
      </c>
      <c r="C3">
        <v>2</v>
      </c>
      <c r="D3" t="s">
        <v>85</v>
      </c>
      <c r="E3">
        <v>1926112388</v>
      </c>
      <c r="F3" t="s">
        <v>178</v>
      </c>
      <c r="G3" t="s">
        <v>177</v>
      </c>
      <c r="H3" t="s">
        <v>88</v>
      </c>
      <c r="I3" t="s">
        <v>88</v>
      </c>
      <c r="J3" t="s">
        <v>88</v>
      </c>
      <c r="K3" t="s">
        <v>88</v>
      </c>
      <c r="L3" t="s">
        <v>87</v>
      </c>
      <c r="M3" t="s">
        <v>88</v>
      </c>
      <c r="O3" t="s">
        <v>87</v>
      </c>
      <c r="Q3" t="s">
        <v>90</v>
      </c>
      <c r="R3" t="s">
        <v>102</v>
      </c>
      <c r="S3" t="s">
        <v>88</v>
      </c>
      <c r="T3" t="s">
        <v>87</v>
      </c>
      <c r="U3" t="s">
        <v>88</v>
      </c>
      <c r="V3" t="s">
        <v>88</v>
      </c>
      <c r="W3" t="s">
        <v>87</v>
      </c>
      <c r="X3" t="s">
        <v>88</v>
      </c>
      <c r="Y3" t="s">
        <v>88</v>
      </c>
      <c r="AG3" t="s">
        <v>91</v>
      </c>
      <c r="AH3" t="s">
        <v>92</v>
      </c>
      <c r="AI3">
        <v>2</v>
      </c>
      <c r="AJ3">
        <v>2</v>
      </c>
      <c r="AK3">
        <v>4</v>
      </c>
      <c r="AL3">
        <v>4</v>
      </c>
      <c r="AM3" t="s">
        <v>94</v>
      </c>
      <c r="AN3">
        <v>3</v>
      </c>
      <c r="AO3">
        <v>4</v>
      </c>
      <c r="AP3">
        <v>4</v>
      </c>
      <c r="AQ3">
        <v>4</v>
      </c>
      <c r="AR3">
        <v>4</v>
      </c>
      <c r="AS3" t="s">
        <v>94</v>
      </c>
      <c r="AT3">
        <v>4</v>
      </c>
      <c r="AU3" t="s">
        <v>94</v>
      </c>
      <c r="AV3">
        <v>3</v>
      </c>
      <c r="AW3">
        <v>4</v>
      </c>
      <c r="AX3" t="s">
        <v>94</v>
      </c>
      <c r="AY3">
        <v>3</v>
      </c>
      <c r="AZ3">
        <v>3</v>
      </c>
      <c r="BA3">
        <v>4</v>
      </c>
      <c r="BB3">
        <v>4</v>
      </c>
      <c r="BC3" t="s">
        <v>94</v>
      </c>
      <c r="BD3">
        <v>3</v>
      </c>
      <c r="BE3">
        <v>4</v>
      </c>
      <c r="BF3" t="s">
        <v>95</v>
      </c>
      <c r="BG3" t="s">
        <v>95</v>
      </c>
      <c r="BH3" t="s">
        <v>95</v>
      </c>
      <c r="BI3" t="s">
        <v>95</v>
      </c>
      <c r="BJ3" t="s">
        <v>95</v>
      </c>
      <c r="BK3" t="s">
        <v>95</v>
      </c>
      <c r="BL3" t="s">
        <v>95</v>
      </c>
      <c r="BN3">
        <v>132.83000000000001</v>
      </c>
      <c r="BO3">
        <v>68.67</v>
      </c>
      <c r="CB3">
        <v>64.16</v>
      </c>
    </row>
    <row r="4" spans="1:84" x14ac:dyDescent="0.35">
      <c r="A4">
        <v>25</v>
      </c>
      <c r="B4" t="s">
        <v>172</v>
      </c>
      <c r="C4">
        <v>2</v>
      </c>
      <c r="D4" t="s">
        <v>85</v>
      </c>
      <c r="E4">
        <v>2014784022</v>
      </c>
      <c r="F4" t="s">
        <v>173</v>
      </c>
      <c r="G4" t="s">
        <v>172</v>
      </c>
      <c r="H4" t="s">
        <v>87</v>
      </c>
      <c r="I4" t="s">
        <v>88</v>
      </c>
      <c r="J4" t="s">
        <v>88</v>
      </c>
      <c r="K4" t="s">
        <v>88</v>
      </c>
      <c r="L4" t="s">
        <v>88</v>
      </c>
      <c r="M4" t="s">
        <v>87</v>
      </c>
      <c r="O4" t="s">
        <v>87</v>
      </c>
      <c r="Q4" t="s">
        <v>99</v>
      </c>
      <c r="R4" t="s">
        <v>102</v>
      </c>
      <c r="S4" t="s">
        <v>88</v>
      </c>
      <c r="T4" t="s">
        <v>87</v>
      </c>
      <c r="U4" t="s">
        <v>88</v>
      </c>
      <c r="V4" t="s">
        <v>87</v>
      </c>
      <c r="W4" t="s">
        <v>88</v>
      </c>
      <c r="X4" t="s">
        <v>88</v>
      </c>
      <c r="Y4" t="s">
        <v>88</v>
      </c>
      <c r="AD4" t="s">
        <v>103</v>
      </c>
      <c r="AE4" t="s">
        <v>103</v>
      </c>
      <c r="AG4" t="s">
        <v>104</v>
      </c>
      <c r="AH4">
        <v>3</v>
      </c>
      <c r="AI4">
        <v>3</v>
      </c>
      <c r="AJ4">
        <v>3</v>
      </c>
      <c r="AK4">
        <v>3</v>
      </c>
      <c r="AL4" t="s">
        <v>94</v>
      </c>
      <c r="AM4" t="s">
        <v>94</v>
      </c>
      <c r="AN4" t="s">
        <v>94</v>
      </c>
      <c r="AO4" t="s">
        <v>94</v>
      </c>
      <c r="AP4">
        <v>4</v>
      </c>
      <c r="AQ4">
        <v>4</v>
      </c>
      <c r="AR4">
        <v>4</v>
      </c>
      <c r="AS4">
        <v>4</v>
      </c>
      <c r="AT4">
        <v>4</v>
      </c>
      <c r="AU4">
        <v>3</v>
      </c>
      <c r="AV4" t="s">
        <v>94</v>
      </c>
      <c r="AW4" t="s">
        <v>94</v>
      </c>
      <c r="AX4" t="s">
        <v>94</v>
      </c>
      <c r="AY4" t="s">
        <v>94</v>
      </c>
      <c r="AZ4">
        <v>4</v>
      </c>
      <c r="BA4">
        <v>4</v>
      </c>
      <c r="BB4" t="s">
        <v>94</v>
      </c>
      <c r="BC4" t="s">
        <v>94</v>
      </c>
      <c r="BD4" t="s">
        <v>94</v>
      </c>
      <c r="BE4" t="s">
        <v>94</v>
      </c>
      <c r="BF4">
        <v>4</v>
      </c>
      <c r="BG4">
        <v>4</v>
      </c>
      <c r="BH4">
        <v>4</v>
      </c>
      <c r="BI4" t="s">
        <v>95</v>
      </c>
      <c r="BJ4" t="s">
        <v>95</v>
      </c>
      <c r="BK4">
        <v>4</v>
      </c>
      <c r="BL4" t="s">
        <v>95</v>
      </c>
      <c r="BN4">
        <v>218.81</v>
      </c>
      <c r="BO4">
        <v>109.14</v>
      </c>
      <c r="CB4">
        <v>109.67</v>
      </c>
    </row>
    <row r="5" spans="1:84" x14ac:dyDescent="0.35">
      <c r="A5">
        <v>39</v>
      </c>
      <c r="B5" t="s">
        <v>212</v>
      </c>
      <c r="C5">
        <v>2</v>
      </c>
      <c r="D5" t="s">
        <v>85</v>
      </c>
      <c r="E5">
        <v>1528965576</v>
      </c>
      <c r="F5" t="s">
        <v>213</v>
      </c>
      <c r="G5" t="s">
        <v>212</v>
      </c>
      <c r="H5" t="s">
        <v>87</v>
      </c>
      <c r="I5" t="s">
        <v>88</v>
      </c>
      <c r="J5" t="s">
        <v>88</v>
      </c>
      <c r="K5" t="s">
        <v>88</v>
      </c>
      <c r="L5" t="s">
        <v>88</v>
      </c>
      <c r="M5" t="s">
        <v>88</v>
      </c>
      <c r="O5" t="s">
        <v>87</v>
      </c>
      <c r="Q5" t="s">
        <v>90</v>
      </c>
      <c r="R5" t="s">
        <v>87</v>
      </c>
      <c r="S5" t="s">
        <v>88</v>
      </c>
      <c r="T5" t="s">
        <v>88</v>
      </c>
      <c r="U5" t="s">
        <v>88</v>
      </c>
      <c r="V5" t="s">
        <v>88</v>
      </c>
      <c r="W5" t="s">
        <v>87</v>
      </c>
      <c r="X5" t="s">
        <v>88</v>
      </c>
      <c r="Y5" t="s">
        <v>88</v>
      </c>
      <c r="AD5" t="s">
        <v>109</v>
      </c>
      <c r="AE5">
        <v>4</v>
      </c>
      <c r="AF5" t="s">
        <v>110</v>
      </c>
      <c r="AG5" t="s">
        <v>91</v>
      </c>
      <c r="AH5" t="s">
        <v>92</v>
      </c>
      <c r="AI5">
        <v>2</v>
      </c>
      <c r="AJ5">
        <v>3</v>
      </c>
      <c r="AK5" t="s">
        <v>93</v>
      </c>
      <c r="AL5" t="s">
        <v>94</v>
      </c>
      <c r="AM5">
        <v>4</v>
      </c>
      <c r="AN5" t="s">
        <v>94</v>
      </c>
      <c r="AO5" t="s">
        <v>111</v>
      </c>
      <c r="AP5">
        <v>3</v>
      </c>
      <c r="AQ5">
        <v>3</v>
      </c>
      <c r="AR5">
        <v>3</v>
      </c>
      <c r="AS5">
        <v>3</v>
      </c>
      <c r="AT5" t="s">
        <v>94</v>
      </c>
      <c r="AU5" t="s">
        <v>111</v>
      </c>
      <c r="AV5">
        <v>3</v>
      </c>
      <c r="AW5">
        <v>3</v>
      </c>
      <c r="AX5" t="s">
        <v>94</v>
      </c>
      <c r="AY5">
        <v>2</v>
      </c>
      <c r="AZ5" t="s">
        <v>94</v>
      </c>
      <c r="BA5">
        <v>4</v>
      </c>
      <c r="BB5" t="s">
        <v>94</v>
      </c>
      <c r="BC5">
        <v>4</v>
      </c>
      <c r="BD5" t="s">
        <v>111</v>
      </c>
      <c r="BE5" t="s">
        <v>111</v>
      </c>
      <c r="BF5">
        <v>4</v>
      </c>
      <c r="BG5">
        <v>4</v>
      </c>
      <c r="BH5" t="s">
        <v>95</v>
      </c>
      <c r="BI5">
        <v>3</v>
      </c>
      <c r="BJ5" t="s">
        <v>95</v>
      </c>
      <c r="BK5" t="s">
        <v>95</v>
      </c>
      <c r="BL5" t="s">
        <v>95</v>
      </c>
      <c r="BN5">
        <v>457.37</v>
      </c>
      <c r="BO5">
        <v>336.11</v>
      </c>
      <c r="CB5">
        <v>121.26</v>
      </c>
    </row>
    <row r="6" spans="1:84" x14ac:dyDescent="0.35">
      <c r="A6">
        <v>2</v>
      </c>
      <c r="B6" t="s">
        <v>96</v>
      </c>
      <c r="C6">
        <v>2</v>
      </c>
      <c r="D6" t="s">
        <v>85</v>
      </c>
      <c r="E6">
        <v>975596386</v>
      </c>
      <c r="F6" t="s">
        <v>97</v>
      </c>
      <c r="G6" t="s">
        <v>96</v>
      </c>
      <c r="H6" t="s">
        <v>87</v>
      </c>
      <c r="I6" t="s">
        <v>88</v>
      </c>
      <c r="J6" t="s">
        <v>88</v>
      </c>
      <c r="K6" t="s">
        <v>88</v>
      </c>
      <c r="L6" t="s">
        <v>88</v>
      </c>
      <c r="M6" t="s">
        <v>88</v>
      </c>
      <c r="O6" t="s">
        <v>88</v>
      </c>
      <c r="P6" t="s">
        <v>98</v>
      </c>
      <c r="Q6" t="s">
        <v>99</v>
      </c>
      <c r="S6" t="s">
        <v>87</v>
      </c>
      <c r="T6" t="s">
        <v>87</v>
      </c>
      <c r="U6" t="s">
        <v>88</v>
      </c>
      <c r="V6" t="s">
        <v>88</v>
      </c>
      <c r="W6" t="s">
        <v>87</v>
      </c>
      <c r="X6" t="s">
        <v>88</v>
      </c>
      <c r="Y6" t="s">
        <v>88</v>
      </c>
      <c r="AF6" t="s">
        <v>116</v>
      </c>
      <c r="AG6" t="s">
        <v>104</v>
      </c>
      <c r="AH6" t="s">
        <v>92</v>
      </c>
      <c r="AI6" t="s">
        <v>92</v>
      </c>
      <c r="AJ6">
        <v>4</v>
      </c>
      <c r="AK6" t="s">
        <v>93</v>
      </c>
      <c r="AL6">
        <v>4</v>
      </c>
      <c r="AM6">
        <v>3</v>
      </c>
      <c r="AN6">
        <v>4</v>
      </c>
      <c r="AO6">
        <v>2</v>
      </c>
      <c r="AP6">
        <v>4</v>
      </c>
      <c r="AQ6" t="s">
        <v>94</v>
      </c>
      <c r="AR6">
        <v>2</v>
      </c>
      <c r="AS6">
        <v>2</v>
      </c>
      <c r="AT6" t="s">
        <v>94</v>
      </c>
      <c r="AU6" t="s">
        <v>94</v>
      </c>
      <c r="AV6" t="s">
        <v>94</v>
      </c>
      <c r="AW6">
        <v>3</v>
      </c>
      <c r="AX6" t="s">
        <v>94</v>
      </c>
      <c r="AY6" t="s">
        <v>111</v>
      </c>
      <c r="AZ6">
        <v>4</v>
      </c>
      <c r="BA6" t="s">
        <v>111</v>
      </c>
      <c r="BB6">
        <v>4</v>
      </c>
      <c r="BC6">
        <v>3</v>
      </c>
      <c r="BD6">
        <v>4</v>
      </c>
      <c r="BE6">
        <v>3</v>
      </c>
      <c r="BF6">
        <v>3</v>
      </c>
      <c r="BG6">
        <v>4</v>
      </c>
      <c r="BH6">
        <v>2</v>
      </c>
      <c r="BI6">
        <v>4</v>
      </c>
      <c r="BJ6">
        <v>2</v>
      </c>
      <c r="BK6">
        <v>3</v>
      </c>
      <c r="BL6">
        <v>3</v>
      </c>
      <c r="BM6" t="s">
        <v>117</v>
      </c>
      <c r="BN6">
        <v>1035.49</v>
      </c>
      <c r="BO6">
        <v>159.33000000000001</v>
      </c>
      <c r="CB6">
        <v>876.16</v>
      </c>
    </row>
    <row r="7" spans="1:84" x14ac:dyDescent="0.35">
      <c r="A7">
        <v>32</v>
      </c>
      <c r="B7" t="s">
        <v>193</v>
      </c>
      <c r="C7">
        <v>2</v>
      </c>
      <c r="D7" t="s">
        <v>85</v>
      </c>
      <c r="E7">
        <v>396549616</v>
      </c>
      <c r="F7" t="s">
        <v>194</v>
      </c>
      <c r="G7" t="s">
        <v>193</v>
      </c>
      <c r="H7" t="s">
        <v>87</v>
      </c>
      <c r="I7" t="s">
        <v>88</v>
      </c>
      <c r="J7" t="s">
        <v>88</v>
      </c>
      <c r="K7" t="s">
        <v>88</v>
      </c>
      <c r="L7" t="s">
        <v>88</v>
      </c>
      <c r="M7" t="s">
        <v>88</v>
      </c>
      <c r="O7" t="s">
        <v>87</v>
      </c>
      <c r="Q7" t="s">
        <v>115</v>
      </c>
      <c r="R7" t="s">
        <v>87</v>
      </c>
      <c r="S7" t="s">
        <v>88</v>
      </c>
      <c r="T7" t="s">
        <v>87</v>
      </c>
      <c r="U7" t="s">
        <v>88</v>
      </c>
      <c r="V7" t="s">
        <v>88</v>
      </c>
      <c r="W7" t="s">
        <v>87</v>
      </c>
      <c r="X7" t="s">
        <v>88</v>
      </c>
      <c r="Y7" t="s">
        <v>87</v>
      </c>
      <c r="AD7">
        <v>4</v>
      </c>
      <c r="AE7" t="s">
        <v>120</v>
      </c>
      <c r="AG7" t="s">
        <v>104</v>
      </c>
      <c r="AH7">
        <v>2</v>
      </c>
      <c r="AI7">
        <v>2</v>
      </c>
      <c r="AJ7" t="s">
        <v>93</v>
      </c>
      <c r="AK7" t="s">
        <v>93</v>
      </c>
      <c r="AL7">
        <v>4</v>
      </c>
      <c r="AM7">
        <v>4</v>
      </c>
      <c r="AN7" t="s">
        <v>111</v>
      </c>
      <c r="AO7" t="s">
        <v>111</v>
      </c>
      <c r="AP7">
        <v>4</v>
      </c>
      <c r="AQ7">
        <v>4</v>
      </c>
      <c r="AR7">
        <v>2</v>
      </c>
      <c r="AS7">
        <v>4</v>
      </c>
      <c r="AT7">
        <v>3</v>
      </c>
      <c r="AU7">
        <v>3</v>
      </c>
      <c r="AV7">
        <v>4</v>
      </c>
      <c r="AW7">
        <v>4</v>
      </c>
      <c r="AX7">
        <v>4</v>
      </c>
      <c r="AY7">
        <v>4</v>
      </c>
      <c r="AZ7">
        <v>3</v>
      </c>
      <c r="BA7">
        <v>4</v>
      </c>
      <c r="BB7">
        <v>3</v>
      </c>
      <c r="BC7">
        <v>4</v>
      </c>
      <c r="BD7">
        <v>3</v>
      </c>
      <c r="BE7">
        <v>4</v>
      </c>
      <c r="BF7" t="s">
        <v>95</v>
      </c>
      <c r="BG7">
        <v>3</v>
      </c>
      <c r="BH7">
        <v>4</v>
      </c>
      <c r="BI7">
        <v>4</v>
      </c>
      <c r="BJ7">
        <v>3</v>
      </c>
      <c r="BK7">
        <v>4</v>
      </c>
      <c r="BL7">
        <v>4</v>
      </c>
      <c r="BN7">
        <v>233.73</v>
      </c>
      <c r="BO7">
        <v>87.68</v>
      </c>
      <c r="CB7">
        <v>146.05000000000001</v>
      </c>
    </row>
    <row r="8" spans="1:84" x14ac:dyDescent="0.35">
      <c r="A8">
        <v>11</v>
      </c>
      <c r="B8" t="s">
        <v>131</v>
      </c>
      <c r="C8">
        <v>2</v>
      </c>
      <c r="D8" t="s">
        <v>85</v>
      </c>
      <c r="E8">
        <v>785212090</v>
      </c>
      <c r="F8" t="s">
        <v>132</v>
      </c>
      <c r="G8" t="s">
        <v>131</v>
      </c>
      <c r="H8" t="s">
        <v>88</v>
      </c>
      <c r="I8" t="s">
        <v>88</v>
      </c>
      <c r="J8" t="s">
        <v>87</v>
      </c>
      <c r="K8" t="s">
        <v>88</v>
      </c>
      <c r="L8" t="s">
        <v>88</v>
      </c>
      <c r="M8" t="s">
        <v>87</v>
      </c>
      <c r="O8" t="s">
        <v>87</v>
      </c>
      <c r="Q8" t="s">
        <v>107</v>
      </c>
      <c r="R8" t="s">
        <v>88</v>
      </c>
      <c r="S8" t="s">
        <v>88</v>
      </c>
      <c r="T8" t="s">
        <v>88</v>
      </c>
      <c r="U8" t="s">
        <v>88</v>
      </c>
      <c r="V8" t="s">
        <v>88</v>
      </c>
      <c r="W8" t="s">
        <v>87</v>
      </c>
      <c r="X8" t="s">
        <v>87</v>
      </c>
      <c r="Y8" t="s">
        <v>87</v>
      </c>
      <c r="BN8">
        <v>0</v>
      </c>
    </row>
    <row r="9" spans="1:84" x14ac:dyDescent="0.35">
      <c r="A9">
        <v>14</v>
      </c>
      <c r="B9" t="s">
        <v>137</v>
      </c>
      <c r="C9">
        <v>2</v>
      </c>
      <c r="D9" t="s">
        <v>85</v>
      </c>
      <c r="E9">
        <v>122778455</v>
      </c>
      <c r="F9" t="s">
        <v>138</v>
      </c>
      <c r="G9" t="s">
        <v>137</v>
      </c>
      <c r="H9" t="s">
        <v>88</v>
      </c>
      <c r="I9" t="s">
        <v>88</v>
      </c>
      <c r="J9" t="s">
        <v>87</v>
      </c>
      <c r="K9" t="s">
        <v>88</v>
      </c>
      <c r="L9" t="s">
        <v>88</v>
      </c>
      <c r="M9" t="s">
        <v>87</v>
      </c>
      <c r="O9" t="s">
        <v>87</v>
      </c>
      <c r="Q9" t="s">
        <v>107</v>
      </c>
      <c r="R9" t="s">
        <v>88</v>
      </c>
      <c r="S9" t="s">
        <v>88</v>
      </c>
      <c r="T9" t="s">
        <v>88</v>
      </c>
      <c r="U9" t="s">
        <v>88</v>
      </c>
      <c r="V9" t="s">
        <v>88</v>
      </c>
      <c r="W9" t="s">
        <v>87</v>
      </c>
      <c r="X9" t="s">
        <v>87</v>
      </c>
      <c r="Y9" t="s">
        <v>87</v>
      </c>
      <c r="AF9" t="s">
        <v>126</v>
      </c>
      <c r="AG9" t="s">
        <v>91</v>
      </c>
      <c r="AH9">
        <v>4</v>
      </c>
      <c r="AI9">
        <v>4</v>
      </c>
      <c r="AJ9">
        <v>4</v>
      </c>
      <c r="AK9">
        <v>4</v>
      </c>
      <c r="AL9" t="s">
        <v>94</v>
      </c>
      <c r="AM9">
        <v>4</v>
      </c>
      <c r="AN9" t="s">
        <v>94</v>
      </c>
      <c r="AO9" t="s">
        <v>111</v>
      </c>
      <c r="AP9" t="s">
        <v>94</v>
      </c>
      <c r="AQ9" t="s">
        <v>111</v>
      </c>
      <c r="AR9">
        <v>3</v>
      </c>
      <c r="AS9">
        <v>2</v>
      </c>
      <c r="AT9">
        <v>4</v>
      </c>
      <c r="AU9" t="s">
        <v>94</v>
      </c>
      <c r="AV9">
        <v>2</v>
      </c>
      <c r="AW9" t="s">
        <v>111</v>
      </c>
      <c r="AX9" t="s">
        <v>94</v>
      </c>
      <c r="AY9">
        <v>2</v>
      </c>
      <c r="AZ9" t="s">
        <v>94</v>
      </c>
      <c r="BA9" t="s">
        <v>94</v>
      </c>
      <c r="BB9" t="s">
        <v>94</v>
      </c>
      <c r="BC9" t="s">
        <v>94</v>
      </c>
      <c r="BD9">
        <v>4</v>
      </c>
      <c r="BE9" t="s">
        <v>111</v>
      </c>
      <c r="BF9" t="s">
        <v>95</v>
      </c>
      <c r="BG9" t="s">
        <v>95</v>
      </c>
      <c r="BH9" t="s">
        <v>95</v>
      </c>
      <c r="BI9" t="s">
        <v>95</v>
      </c>
      <c r="BJ9" t="s">
        <v>95</v>
      </c>
      <c r="BK9" t="s">
        <v>95</v>
      </c>
      <c r="BL9" t="s">
        <v>95</v>
      </c>
      <c r="BM9" t="s">
        <v>127</v>
      </c>
      <c r="BN9">
        <v>1511.36</v>
      </c>
      <c r="BO9">
        <v>353.09</v>
      </c>
      <c r="CB9">
        <v>1158.27</v>
      </c>
    </row>
    <row r="10" spans="1:84" x14ac:dyDescent="0.35">
      <c r="A10">
        <v>21</v>
      </c>
      <c r="B10" t="s">
        <v>160</v>
      </c>
      <c r="C10">
        <v>2</v>
      </c>
      <c r="D10" t="s">
        <v>85</v>
      </c>
      <c r="E10">
        <v>989717454</v>
      </c>
      <c r="F10" t="s">
        <v>161</v>
      </c>
      <c r="G10" t="s">
        <v>160</v>
      </c>
      <c r="H10" t="s">
        <v>87</v>
      </c>
      <c r="I10" t="s">
        <v>88</v>
      </c>
      <c r="J10" t="s">
        <v>87</v>
      </c>
      <c r="K10" t="s">
        <v>88</v>
      </c>
      <c r="L10" t="s">
        <v>87</v>
      </c>
      <c r="M10" t="s">
        <v>87</v>
      </c>
      <c r="O10" t="s">
        <v>87</v>
      </c>
      <c r="Q10" t="s">
        <v>107</v>
      </c>
      <c r="R10" t="s">
        <v>102</v>
      </c>
      <c r="S10" t="s">
        <v>87</v>
      </c>
      <c r="T10" t="s">
        <v>87</v>
      </c>
      <c r="U10" t="s">
        <v>88</v>
      </c>
      <c r="V10" t="s">
        <v>87</v>
      </c>
      <c r="W10" t="s">
        <v>87</v>
      </c>
      <c r="X10" t="s">
        <v>88</v>
      </c>
      <c r="Y10" t="s">
        <v>88</v>
      </c>
      <c r="AD10" t="s">
        <v>103</v>
      </c>
      <c r="AE10" t="s">
        <v>120</v>
      </c>
      <c r="AG10" t="s">
        <v>91</v>
      </c>
      <c r="AH10">
        <v>2</v>
      </c>
      <c r="AI10">
        <v>2</v>
      </c>
      <c r="AJ10">
        <v>4</v>
      </c>
      <c r="AK10" t="s">
        <v>93</v>
      </c>
      <c r="AL10">
        <v>4</v>
      </c>
      <c r="AM10" t="s">
        <v>94</v>
      </c>
      <c r="AN10">
        <v>2</v>
      </c>
      <c r="AO10">
        <v>2</v>
      </c>
      <c r="AP10">
        <v>3</v>
      </c>
      <c r="AQ10">
        <v>4</v>
      </c>
      <c r="AR10">
        <v>4</v>
      </c>
      <c r="AS10" t="s">
        <v>94</v>
      </c>
      <c r="AT10">
        <v>4</v>
      </c>
      <c r="AU10" t="s">
        <v>94</v>
      </c>
      <c r="AV10">
        <v>4</v>
      </c>
      <c r="AW10" t="s">
        <v>94</v>
      </c>
      <c r="AX10">
        <v>3</v>
      </c>
      <c r="AY10">
        <v>3</v>
      </c>
      <c r="AZ10">
        <v>2</v>
      </c>
      <c r="BA10">
        <v>4</v>
      </c>
      <c r="BB10">
        <v>3</v>
      </c>
      <c r="BC10">
        <v>3</v>
      </c>
      <c r="BD10">
        <v>2</v>
      </c>
      <c r="BE10">
        <v>3</v>
      </c>
      <c r="BF10" t="s">
        <v>95</v>
      </c>
      <c r="BG10" t="s">
        <v>95</v>
      </c>
      <c r="BH10" t="s">
        <v>95</v>
      </c>
      <c r="BI10" t="s">
        <v>95</v>
      </c>
      <c r="BJ10">
        <v>4</v>
      </c>
      <c r="BK10" t="s">
        <v>95</v>
      </c>
      <c r="BL10">
        <v>4</v>
      </c>
      <c r="BN10">
        <v>199.3</v>
      </c>
      <c r="BO10">
        <v>61.29</v>
      </c>
      <c r="CB10">
        <v>138.01</v>
      </c>
    </row>
    <row r="11" spans="1:84" x14ac:dyDescent="0.35">
      <c r="A11">
        <v>45</v>
      </c>
      <c r="B11" t="s">
        <v>233</v>
      </c>
      <c r="C11">
        <v>2</v>
      </c>
      <c r="D11" t="s">
        <v>85</v>
      </c>
      <c r="E11">
        <v>1315470139</v>
      </c>
      <c r="F11" t="s">
        <v>234</v>
      </c>
      <c r="G11" t="s">
        <v>233</v>
      </c>
      <c r="H11" t="s">
        <v>88</v>
      </c>
      <c r="I11" t="s">
        <v>88</v>
      </c>
      <c r="J11" t="s">
        <v>87</v>
      </c>
      <c r="K11" t="s">
        <v>88</v>
      </c>
      <c r="L11" t="s">
        <v>88</v>
      </c>
      <c r="M11" t="s">
        <v>88</v>
      </c>
      <c r="O11" t="s">
        <v>87</v>
      </c>
      <c r="Q11" t="s">
        <v>90</v>
      </c>
      <c r="R11" t="s">
        <v>102</v>
      </c>
      <c r="S11" t="s">
        <v>87</v>
      </c>
      <c r="T11" t="s">
        <v>88</v>
      </c>
      <c r="U11" t="s">
        <v>88</v>
      </c>
      <c r="V11" t="s">
        <v>88</v>
      </c>
      <c r="W11" t="s">
        <v>87</v>
      </c>
      <c r="X11" t="s">
        <v>88</v>
      </c>
      <c r="Y11" t="s">
        <v>88</v>
      </c>
      <c r="BN11">
        <v>0</v>
      </c>
    </row>
    <row r="12" spans="1:84" x14ac:dyDescent="0.35">
      <c r="A12">
        <v>20</v>
      </c>
      <c r="B12" t="s">
        <v>156</v>
      </c>
      <c r="C12">
        <v>2</v>
      </c>
      <c r="D12" t="s">
        <v>85</v>
      </c>
      <c r="E12">
        <v>1680794153</v>
      </c>
      <c r="F12" t="s">
        <v>157</v>
      </c>
      <c r="G12" t="s">
        <v>156</v>
      </c>
      <c r="H12" t="s">
        <v>87</v>
      </c>
      <c r="I12" t="s">
        <v>88</v>
      </c>
      <c r="J12" t="s">
        <v>88</v>
      </c>
      <c r="K12" t="s">
        <v>88</v>
      </c>
      <c r="L12" t="s">
        <v>88</v>
      </c>
      <c r="M12" t="s">
        <v>88</v>
      </c>
      <c r="O12" t="s">
        <v>88</v>
      </c>
      <c r="P12" t="s">
        <v>158</v>
      </c>
      <c r="Q12" t="s">
        <v>107</v>
      </c>
      <c r="S12" t="s">
        <v>88</v>
      </c>
      <c r="T12" t="s">
        <v>88</v>
      </c>
      <c r="U12" t="s">
        <v>88</v>
      </c>
      <c r="V12" t="s">
        <v>88</v>
      </c>
      <c r="W12" t="s">
        <v>87</v>
      </c>
      <c r="X12" t="s">
        <v>88</v>
      </c>
      <c r="Y12" t="s">
        <v>88</v>
      </c>
      <c r="AD12" t="s">
        <v>103</v>
      </c>
      <c r="AE12" t="s">
        <v>103</v>
      </c>
      <c r="AG12" t="s">
        <v>104</v>
      </c>
      <c r="AH12" t="s">
        <v>92</v>
      </c>
      <c r="AI12">
        <v>2</v>
      </c>
      <c r="AJ12">
        <v>3</v>
      </c>
      <c r="AK12">
        <v>3</v>
      </c>
      <c r="AL12" t="s">
        <v>94</v>
      </c>
      <c r="AM12" t="s">
        <v>94</v>
      </c>
      <c r="AN12">
        <v>4</v>
      </c>
      <c r="AO12">
        <v>4</v>
      </c>
      <c r="AP12">
        <v>3</v>
      </c>
      <c r="AQ12">
        <v>3</v>
      </c>
      <c r="AR12">
        <v>3</v>
      </c>
      <c r="AS12">
        <v>4</v>
      </c>
      <c r="AT12">
        <v>3</v>
      </c>
      <c r="AU12">
        <v>4</v>
      </c>
      <c r="AV12">
        <v>4</v>
      </c>
      <c r="AW12">
        <v>4</v>
      </c>
      <c r="AX12">
        <v>4</v>
      </c>
      <c r="AY12">
        <v>4</v>
      </c>
      <c r="AZ12">
        <v>3</v>
      </c>
      <c r="BA12">
        <v>4</v>
      </c>
      <c r="BB12">
        <v>4</v>
      </c>
      <c r="BC12">
        <v>4</v>
      </c>
      <c r="BD12">
        <v>3</v>
      </c>
      <c r="BE12">
        <v>3</v>
      </c>
      <c r="BF12" t="s">
        <v>95</v>
      </c>
      <c r="BG12" t="s">
        <v>95</v>
      </c>
      <c r="BH12" t="s">
        <v>95</v>
      </c>
      <c r="BI12" t="s">
        <v>95</v>
      </c>
      <c r="BJ12" t="s">
        <v>95</v>
      </c>
      <c r="BK12" t="s">
        <v>95</v>
      </c>
      <c r="BL12" t="s">
        <v>95</v>
      </c>
      <c r="BN12">
        <v>249.11</v>
      </c>
      <c r="BO12">
        <v>67.03</v>
      </c>
      <c r="CB12">
        <v>182.08</v>
      </c>
    </row>
    <row r="13" spans="1:84" x14ac:dyDescent="0.35">
      <c r="A13">
        <v>26</v>
      </c>
      <c r="B13" t="s">
        <v>174</v>
      </c>
      <c r="C13">
        <v>2</v>
      </c>
      <c r="D13" t="s">
        <v>85</v>
      </c>
      <c r="E13">
        <v>1815231045</v>
      </c>
      <c r="F13" t="s">
        <v>175</v>
      </c>
      <c r="G13" t="s">
        <v>174</v>
      </c>
      <c r="H13" t="s">
        <v>87</v>
      </c>
      <c r="I13" t="s">
        <v>88</v>
      </c>
      <c r="J13" t="s">
        <v>88</v>
      </c>
      <c r="K13" t="s">
        <v>88</v>
      </c>
      <c r="L13" t="s">
        <v>88</v>
      </c>
      <c r="M13" t="s">
        <v>88</v>
      </c>
      <c r="O13" t="s">
        <v>88</v>
      </c>
      <c r="P13" t="s">
        <v>176</v>
      </c>
      <c r="Q13" t="s">
        <v>115</v>
      </c>
      <c r="S13" t="s">
        <v>87</v>
      </c>
      <c r="T13" t="s">
        <v>87</v>
      </c>
      <c r="U13" t="s">
        <v>88</v>
      </c>
      <c r="V13" t="s">
        <v>87</v>
      </c>
      <c r="W13" t="s">
        <v>87</v>
      </c>
      <c r="X13" t="s">
        <v>88</v>
      </c>
      <c r="Y13" t="s">
        <v>88</v>
      </c>
      <c r="AD13" t="s">
        <v>103</v>
      </c>
      <c r="AE13" t="s">
        <v>103</v>
      </c>
      <c r="AG13" t="s">
        <v>104</v>
      </c>
      <c r="AH13">
        <v>3</v>
      </c>
      <c r="AI13">
        <v>3</v>
      </c>
      <c r="AJ13">
        <v>4</v>
      </c>
      <c r="AK13" t="s">
        <v>93</v>
      </c>
      <c r="AL13" t="s">
        <v>94</v>
      </c>
      <c r="AM13" t="s">
        <v>94</v>
      </c>
      <c r="AN13" t="s">
        <v>94</v>
      </c>
      <c r="AO13" t="s">
        <v>94</v>
      </c>
      <c r="AP13" t="s">
        <v>94</v>
      </c>
      <c r="AQ13">
        <v>4</v>
      </c>
      <c r="AR13">
        <v>3</v>
      </c>
      <c r="AS13">
        <v>3</v>
      </c>
      <c r="AT13">
        <v>4</v>
      </c>
      <c r="AU13">
        <v>4</v>
      </c>
      <c r="AV13">
        <v>4</v>
      </c>
      <c r="AW13" t="s">
        <v>94</v>
      </c>
      <c r="AX13" t="s">
        <v>94</v>
      </c>
      <c r="AY13">
        <v>4</v>
      </c>
      <c r="AZ13">
        <v>3</v>
      </c>
      <c r="BA13">
        <v>3</v>
      </c>
      <c r="BB13" t="s">
        <v>111</v>
      </c>
      <c r="BC13" t="s">
        <v>111</v>
      </c>
      <c r="BD13">
        <v>3</v>
      </c>
      <c r="BE13">
        <v>4</v>
      </c>
      <c r="BF13">
        <v>3</v>
      </c>
      <c r="BG13">
        <v>2</v>
      </c>
      <c r="BH13">
        <v>3</v>
      </c>
      <c r="BI13">
        <v>3</v>
      </c>
      <c r="BJ13">
        <v>2</v>
      </c>
      <c r="BK13">
        <v>2</v>
      </c>
      <c r="BL13">
        <v>3</v>
      </c>
      <c r="BN13">
        <v>278.10000000000002</v>
      </c>
      <c r="BO13">
        <v>85.95</v>
      </c>
      <c r="CB13">
        <v>192.15</v>
      </c>
    </row>
    <row r="14" spans="1:84" x14ac:dyDescent="0.35">
      <c r="A14">
        <v>37</v>
      </c>
      <c r="B14" t="s">
        <v>207</v>
      </c>
      <c r="C14">
        <v>2</v>
      </c>
      <c r="D14" t="s">
        <v>85</v>
      </c>
      <c r="E14">
        <v>131988751</v>
      </c>
      <c r="F14" t="s">
        <v>208</v>
      </c>
      <c r="G14" t="s">
        <v>207</v>
      </c>
      <c r="H14" t="s">
        <v>87</v>
      </c>
      <c r="I14" t="s">
        <v>88</v>
      </c>
      <c r="J14" t="s">
        <v>88</v>
      </c>
      <c r="K14" t="s">
        <v>88</v>
      </c>
      <c r="L14" t="s">
        <v>88</v>
      </c>
      <c r="M14" t="s">
        <v>88</v>
      </c>
      <c r="O14" t="s">
        <v>88</v>
      </c>
      <c r="P14" t="s">
        <v>209</v>
      </c>
      <c r="Q14" t="s">
        <v>107</v>
      </c>
      <c r="S14" t="s">
        <v>88</v>
      </c>
      <c r="T14" t="s">
        <v>87</v>
      </c>
      <c r="U14" t="s">
        <v>88</v>
      </c>
      <c r="V14" t="s">
        <v>88</v>
      </c>
      <c r="W14" t="s">
        <v>87</v>
      </c>
      <c r="X14" t="s">
        <v>87</v>
      </c>
      <c r="Y14" t="s">
        <v>88</v>
      </c>
      <c r="AD14">
        <v>3</v>
      </c>
      <c r="AE14">
        <v>4</v>
      </c>
      <c r="AG14" t="s">
        <v>104</v>
      </c>
      <c r="AH14" t="s">
        <v>92</v>
      </c>
      <c r="AI14">
        <v>2</v>
      </c>
      <c r="AJ14">
        <v>3</v>
      </c>
      <c r="AK14">
        <v>3</v>
      </c>
      <c r="AL14" t="s">
        <v>94</v>
      </c>
      <c r="AM14" t="s">
        <v>94</v>
      </c>
      <c r="AN14">
        <v>3</v>
      </c>
      <c r="AO14">
        <v>3</v>
      </c>
      <c r="AP14">
        <v>3</v>
      </c>
      <c r="AQ14">
        <v>3</v>
      </c>
      <c r="AR14">
        <v>3</v>
      </c>
      <c r="AS14">
        <v>3</v>
      </c>
      <c r="AT14">
        <v>4</v>
      </c>
      <c r="AU14">
        <v>4</v>
      </c>
      <c r="AV14">
        <v>4</v>
      </c>
      <c r="AW14">
        <v>4</v>
      </c>
      <c r="AX14">
        <v>4</v>
      </c>
      <c r="AY14">
        <v>4</v>
      </c>
      <c r="AZ14">
        <v>3</v>
      </c>
      <c r="BA14">
        <v>4</v>
      </c>
      <c r="BB14">
        <v>4</v>
      </c>
      <c r="BC14">
        <v>4</v>
      </c>
      <c r="BD14">
        <v>3</v>
      </c>
      <c r="BE14">
        <v>3</v>
      </c>
      <c r="BF14" t="s">
        <v>95</v>
      </c>
      <c r="BG14" t="s">
        <v>95</v>
      </c>
      <c r="BH14" t="s">
        <v>95</v>
      </c>
      <c r="BI14" t="s">
        <v>95</v>
      </c>
      <c r="BJ14" t="s">
        <v>95</v>
      </c>
      <c r="BK14" t="s">
        <v>95</v>
      </c>
      <c r="BL14" t="s">
        <v>95</v>
      </c>
      <c r="BN14">
        <v>252.01</v>
      </c>
      <c r="BO14">
        <v>73.84</v>
      </c>
      <c r="CB14">
        <v>178.17</v>
      </c>
    </row>
    <row r="15" spans="1:84" x14ac:dyDescent="0.35">
      <c r="A15">
        <v>9</v>
      </c>
      <c r="B15" t="s">
        <v>128</v>
      </c>
      <c r="C15">
        <v>2</v>
      </c>
      <c r="D15" t="s">
        <v>85</v>
      </c>
      <c r="E15">
        <v>2127569404</v>
      </c>
      <c r="F15" t="s">
        <v>129</v>
      </c>
      <c r="G15" t="s">
        <v>128</v>
      </c>
      <c r="H15" t="s">
        <v>87</v>
      </c>
      <c r="I15" t="s">
        <v>88</v>
      </c>
      <c r="J15" t="s">
        <v>88</v>
      </c>
      <c r="K15" t="s">
        <v>88</v>
      </c>
      <c r="L15" t="s">
        <v>87</v>
      </c>
      <c r="M15" t="s">
        <v>87</v>
      </c>
      <c r="O15" t="s">
        <v>87</v>
      </c>
      <c r="Q15" t="s">
        <v>90</v>
      </c>
      <c r="R15" t="s">
        <v>87</v>
      </c>
      <c r="S15" t="s">
        <v>87</v>
      </c>
      <c r="T15" t="s">
        <v>87</v>
      </c>
      <c r="U15" t="s">
        <v>87</v>
      </c>
      <c r="V15" t="s">
        <v>87</v>
      </c>
      <c r="W15" t="s">
        <v>88</v>
      </c>
      <c r="X15" t="s">
        <v>88</v>
      </c>
      <c r="Y15" t="s">
        <v>88</v>
      </c>
      <c r="AD15" t="s">
        <v>103</v>
      </c>
      <c r="AE15" t="s">
        <v>103</v>
      </c>
      <c r="AG15" t="s">
        <v>104</v>
      </c>
      <c r="AH15" t="s">
        <v>92</v>
      </c>
      <c r="AI15">
        <v>2</v>
      </c>
      <c r="AJ15">
        <v>3</v>
      </c>
      <c r="AK15">
        <v>3</v>
      </c>
      <c r="AL15" t="s">
        <v>94</v>
      </c>
      <c r="AM15" t="s">
        <v>94</v>
      </c>
      <c r="AN15">
        <v>3</v>
      </c>
      <c r="AO15">
        <v>3</v>
      </c>
      <c r="AP15">
        <v>3</v>
      </c>
      <c r="AQ15">
        <v>3</v>
      </c>
      <c r="AR15">
        <v>3</v>
      </c>
      <c r="AS15">
        <v>3</v>
      </c>
      <c r="AT15">
        <v>4</v>
      </c>
      <c r="AU15">
        <v>4</v>
      </c>
      <c r="AV15">
        <v>4</v>
      </c>
      <c r="AW15">
        <v>4</v>
      </c>
      <c r="AX15">
        <v>3</v>
      </c>
      <c r="AY15">
        <v>3</v>
      </c>
      <c r="AZ15">
        <v>3</v>
      </c>
      <c r="BA15">
        <v>3</v>
      </c>
      <c r="BB15">
        <v>4</v>
      </c>
      <c r="BC15">
        <v>4</v>
      </c>
      <c r="BD15">
        <v>3</v>
      </c>
      <c r="BE15">
        <v>3</v>
      </c>
      <c r="BF15" t="s">
        <v>95</v>
      </c>
      <c r="BG15" t="s">
        <v>95</v>
      </c>
      <c r="BH15" t="s">
        <v>95</v>
      </c>
      <c r="BI15" t="s">
        <v>95</v>
      </c>
      <c r="BJ15" t="s">
        <v>95</v>
      </c>
      <c r="BK15" t="s">
        <v>95</v>
      </c>
      <c r="BL15" t="s">
        <v>95</v>
      </c>
      <c r="BN15">
        <v>97.2</v>
      </c>
      <c r="BO15">
        <v>44.37</v>
      </c>
      <c r="CB15">
        <v>52.83</v>
      </c>
    </row>
    <row r="16" spans="1:84" x14ac:dyDescent="0.35">
      <c r="A16">
        <v>48</v>
      </c>
      <c r="B16" t="s">
        <v>239</v>
      </c>
      <c r="C16">
        <v>2</v>
      </c>
      <c r="D16" t="s">
        <v>85</v>
      </c>
      <c r="E16">
        <v>426055552</v>
      </c>
      <c r="F16" t="s">
        <v>240</v>
      </c>
      <c r="G16" t="s">
        <v>239</v>
      </c>
      <c r="H16" t="s">
        <v>87</v>
      </c>
      <c r="I16" t="s">
        <v>88</v>
      </c>
      <c r="J16" t="s">
        <v>88</v>
      </c>
      <c r="K16" t="s">
        <v>88</v>
      </c>
      <c r="L16" t="s">
        <v>88</v>
      </c>
      <c r="M16" t="s">
        <v>88</v>
      </c>
      <c r="O16" t="s">
        <v>88</v>
      </c>
      <c r="P16" t="s">
        <v>241</v>
      </c>
      <c r="Q16" t="s">
        <v>90</v>
      </c>
      <c r="S16" t="s">
        <v>87</v>
      </c>
      <c r="T16" t="s">
        <v>87</v>
      </c>
      <c r="U16" t="s">
        <v>88</v>
      </c>
      <c r="V16" t="s">
        <v>87</v>
      </c>
      <c r="W16" t="s">
        <v>87</v>
      </c>
      <c r="X16" t="s">
        <v>88</v>
      </c>
      <c r="Y16" t="s">
        <v>88</v>
      </c>
      <c r="AD16" t="s">
        <v>103</v>
      </c>
      <c r="AE16" t="s">
        <v>103</v>
      </c>
      <c r="AG16" t="s">
        <v>142</v>
      </c>
      <c r="AH16" t="s">
        <v>92</v>
      </c>
      <c r="AI16" t="s">
        <v>92</v>
      </c>
      <c r="AJ16">
        <v>2</v>
      </c>
      <c r="AK16">
        <v>3</v>
      </c>
      <c r="AL16" t="s">
        <v>94</v>
      </c>
      <c r="AM16" t="s">
        <v>94</v>
      </c>
      <c r="AN16">
        <v>4</v>
      </c>
      <c r="AO16">
        <v>3</v>
      </c>
      <c r="AP16" t="s">
        <v>94</v>
      </c>
      <c r="AQ16" t="s">
        <v>94</v>
      </c>
      <c r="AR16">
        <v>4</v>
      </c>
      <c r="AS16">
        <v>2</v>
      </c>
      <c r="AT16" t="s">
        <v>94</v>
      </c>
      <c r="AU16" t="s">
        <v>94</v>
      </c>
      <c r="AV16" t="s">
        <v>94</v>
      </c>
      <c r="AW16" t="s">
        <v>94</v>
      </c>
      <c r="AX16" t="s">
        <v>94</v>
      </c>
      <c r="AY16" t="s">
        <v>94</v>
      </c>
      <c r="AZ16">
        <v>3</v>
      </c>
      <c r="BA16">
        <v>3</v>
      </c>
      <c r="BB16">
        <v>4</v>
      </c>
      <c r="BC16">
        <v>4</v>
      </c>
      <c r="BD16">
        <v>3</v>
      </c>
      <c r="BE16">
        <v>4</v>
      </c>
      <c r="BF16">
        <v>4</v>
      </c>
      <c r="BG16" t="s">
        <v>95</v>
      </c>
      <c r="BH16">
        <v>4</v>
      </c>
      <c r="BI16" t="s">
        <v>95</v>
      </c>
      <c r="BJ16">
        <v>3</v>
      </c>
      <c r="BK16" t="s">
        <v>95</v>
      </c>
      <c r="BL16">
        <v>4</v>
      </c>
      <c r="BM16" t="s">
        <v>143</v>
      </c>
      <c r="BN16">
        <v>829.43</v>
      </c>
      <c r="BO16">
        <v>108.18</v>
      </c>
      <c r="CB16">
        <v>721.25</v>
      </c>
    </row>
    <row r="17" spans="1:80" x14ac:dyDescent="0.35">
      <c r="A17">
        <v>34</v>
      </c>
      <c r="B17" t="s">
        <v>200</v>
      </c>
      <c r="C17">
        <v>2</v>
      </c>
      <c r="D17" t="s">
        <v>85</v>
      </c>
      <c r="E17">
        <v>217972243</v>
      </c>
      <c r="F17" t="s">
        <v>201</v>
      </c>
      <c r="G17" t="s">
        <v>200</v>
      </c>
      <c r="H17" t="s">
        <v>87</v>
      </c>
      <c r="I17" t="s">
        <v>88</v>
      </c>
      <c r="J17" t="s">
        <v>88</v>
      </c>
      <c r="K17" t="s">
        <v>88</v>
      </c>
      <c r="L17" t="s">
        <v>87</v>
      </c>
      <c r="M17" t="s">
        <v>87</v>
      </c>
      <c r="O17" t="s">
        <v>87</v>
      </c>
      <c r="Q17" t="s">
        <v>90</v>
      </c>
      <c r="R17" t="s">
        <v>102</v>
      </c>
      <c r="S17" t="s">
        <v>87</v>
      </c>
      <c r="T17" t="s">
        <v>88</v>
      </c>
      <c r="U17" t="s">
        <v>88</v>
      </c>
      <c r="V17" t="s">
        <v>87</v>
      </c>
      <c r="W17" t="s">
        <v>87</v>
      </c>
      <c r="X17" t="s">
        <v>88</v>
      </c>
      <c r="Y17" t="s">
        <v>88</v>
      </c>
      <c r="AD17" t="s">
        <v>120</v>
      </c>
      <c r="AE17" t="s">
        <v>120</v>
      </c>
      <c r="AF17" t="s">
        <v>147</v>
      </c>
      <c r="AG17" t="s">
        <v>91</v>
      </c>
      <c r="AH17" t="s">
        <v>92</v>
      </c>
      <c r="AI17">
        <v>3</v>
      </c>
      <c r="AJ17">
        <v>4</v>
      </c>
      <c r="AK17">
        <v>2</v>
      </c>
      <c r="AL17">
        <v>4</v>
      </c>
      <c r="AM17" t="s">
        <v>94</v>
      </c>
      <c r="AN17" t="s">
        <v>94</v>
      </c>
      <c r="AO17">
        <v>3</v>
      </c>
      <c r="AP17" t="s">
        <v>94</v>
      </c>
      <c r="AQ17">
        <v>3</v>
      </c>
      <c r="AR17">
        <v>2</v>
      </c>
      <c r="AS17">
        <v>2</v>
      </c>
      <c r="AT17">
        <v>4</v>
      </c>
      <c r="AU17" t="s">
        <v>94</v>
      </c>
      <c r="AV17">
        <v>4</v>
      </c>
      <c r="AW17">
        <v>4</v>
      </c>
      <c r="AX17" t="s">
        <v>94</v>
      </c>
      <c r="AY17" t="s">
        <v>94</v>
      </c>
      <c r="AZ17">
        <v>4</v>
      </c>
      <c r="BA17" t="s">
        <v>94</v>
      </c>
      <c r="BB17" t="s">
        <v>94</v>
      </c>
      <c r="BC17" t="s">
        <v>94</v>
      </c>
      <c r="BD17">
        <v>4</v>
      </c>
      <c r="BE17">
        <v>4</v>
      </c>
      <c r="BF17">
        <v>3</v>
      </c>
      <c r="BG17" t="s">
        <v>95</v>
      </c>
      <c r="BH17">
        <v>4</v>
      </c>
      <c r="BI17" t="s">
        <v>95</v>
      </c>
      <c r="BJ17" t="s">
        <v>95</v>
      </c>
      <c r="BK17">
        <v>3</v>
      </c>
      <c r="BL17" t="s">
        <v>95</v>
      </c>
      <c r="BM17" t="s">
        <v>148</v>
      </c>
      <c r="BN17">
        <v>244.78</v>
      </c>
      <c r="BO17">
        <v>89.06</v>
      </c>
      <c r="CB17">
        <v>155.72</v>
      </c>
    </row>
    <row r="18" spans="1:80" x14ac:dyDescent="0.35">
      <c r="A18">
        <v>42</v>
      </c>
      <c r="B18" t="s">
        <v>224</v>
      </c>
      <c r="C18">
        <v>2</v>
      </c>
      <c r="D18" t="s">
        <v>85</v>
      </c>
      <c r="E18">
        <v>2094209203</v>
      </c>
      <c r="F18" t="s">
        <v>225</v>
      </c>
      <c r="G18" t="s">
        <v>224</v>
      </c>
      <c r="H18" t="s">
        <v>88</v>
      </c>
      <c r="I18" t="s">
        <v>88</v>
      </c>
      <c r="J18" t="s">
        <v>88</v>
      </c>
      <c r="K18" t="s">
        <v>88</v>
      </c>
      <c r="L18" t="s">
        <v>88</v>
      </c>
      <c r="M18" t="s">
        <v>87</v>
      </c>
      <c r="O18" t="s">
        <v>87</v>
      </c>
      <c r="Q18" t="s">
        <v>90</v>
      </c>
      <c r="R18" t="s">
        <v>88</v>
      </c>
      <c r="S18" t="s">
        <v>87</v>
      </c>
      <c r="T18" t="s">
        <v>88</v>
      </c>
      <c r="U18" t="s">
        <v>88</v>
      </c>
      <c r="V18" t="s">
        <v>87</v>
      </c>
      <c r="W18" t="s">
        <v>88</v>
      </c>
      <c r="X18" t="s">
        <v>88</v>
      </c>
      <c r="Y18" t="s">
        <v>88</v>
      </c>
      <c r="AD18" t="s">
        <v>103</v>
      </c>
      <c r="AE18" t="s">
        <v>103</v>
      </c>
      <c r="AG18" t="s">
        <v>104</v>
      </c>
      <c r="AH18">
        <v>2</v>
      </c>
      <c r="AI18">
        <v>3</v>
      </c>
      <c r="AJ18">
        <v>3</v>
      </c>
      <c r="AK18">
        <v>4</v>
      </c>
      <c r="AL18">
        <v>4</v>
      </c>
      <c r="AM18">
        <v>3</v>
      </c>
      <c r="AN18">
        <v>2</v>
      </c>
      <c r="AO18">
        <v>2</v>
      </c>
      <c r="AP18">
        <v>4</v>
      </c>
      <c r="AQ18">
        <v>4</v>
      </c>
      <c r="AR18" t="s">
        <v>94</v>
      </c>
      <c r="AS18" t="s">
        <v>94</v>
      </c>
      <c r="AT18">
        <v>3</v>
      </c>
      <c r="AU18">
        <v>3</v>
      </c>
      <c r="AV18" t="s">
        <v>94</v>
      </c>
      <c r="AW18" t="s">
        <v>94</v>
      </c>
      <c r="AX18" t="s">
        <v>94</v>
      </c>
      <c r="AY18" t="s">
        <v>94</v>
      </c>
      <c r="AZ18" t="s">
        <v>94</v>
      </c>
      <c r="BA18">
        <v>3</v>
      </c>
      <c r="BB18" t="s">
        <v>111</v>
      </c>
      <c r="BC18" t="s">
        <v>111</v>
      </c>
      <c r="BD18">
        <v>4</v>
      </c>
      <c r="BE18" t="s">
        <v>111</v>
      </c>
      <c r="BF18" t="s">
        <v>95</v>
      </c>
      <c r="BG18" t="s">
        <v>95</v>
      </c>
      <c r="BH18" t="s">
        <v>95</v>
      </c>
      <c r="BI18">
        <v>4</v>
      </c>
      <c r="BJ18">
        <v>3</v>
      </c>
      <c r="BK18">
        <v>4</v>
      </c>
      <c r="BL18">
        <v>3</v>
      </c>
      <c r="BN18">
        <v>248.53</v>
      </c>
      <c r="BO18">
        <v>119.37</v>
      </c>
      <c r="CB18">
        <v>129.16</v>
      </c>
    </row>
    <row r="19" spans="1:80" x14ac:dyDescent="0.35">
      <c r="A19">
        <v>15</v>
      </c>
      <c r="B19" t="s">
        <v>139</v>
      </c>
      <c r="C19">
        <v>2</v>
      </c>
      <c r="D19" t="s">
        <v>85</v>
      </c>
      <c r="E19">
        <v>1229653805</v>
      </c>
      <c r="F19" t="s">
        <v>140</v>
      </c>
      <c r="G19" t="s">
        <v>139</v>
      </c>
      <c r="H19" t="s">
        <v>87</v>
      </c>
      <c r="I19" t="s">
        <v>87</v>
      </c>
      <c r="J19" t="s">
        <v>88</v>
      </c>
      <c r="K19" t="s">
        <v>88</v>
      </c>
      <c r="L19" t="s">
        <v>87</v>
      </c>
      <c r="M19" t="s">
        <v>87</v>
      </c>
      <c r="O19" t="s">
        <v>87</v>
      </c>
      <c r="Q19" t="s">
        <v>90</v>
      </c>
      <c r="R19" t="s">
        <v>102</v>
      </c>
      <c r="S19" t="s">
        <v>87</v>
      </c>
      <c r="T19" t="s">
        <v>87</v>
      </c>
      <c r="U19" t="s">
        <v>88</v>
      </c>
      <c r="V19" t="s">
        <v>88</v>
      </c>
      <c r="W19" t="s">
        <v>87</v>
      </c>
      <c r="X19" t="s">
        <v>88</v>
      </c>
      <c r="Y19" t="s">
        <v>88</v>
      </c>
      <c r="Z19" t="s">
        <v>141</v>
      </c>
      <c r="BN19">
        <v>0</v>
      </c>
    </row>
    <row r="20" spans="1:80" x14ac:dyDescent="0.35">
      <c r="A20">
        <v>46</v>
      </c>
      <c r="B20" t="s">
        <v>235</v>
      </c>
      <c r="C20">
        <v>2</v>
      </c>
      <c r="D20" t="s">
        <v>85</v>
      </c>
      <c r="E20">
        <v>1456791544</v>
      </c>
      <c r="F20" t="s">
        <v>236</v>
      </c>
      <c r="G20" t="s">
        <v>235</v>
      </c>
      <c r="H20" t="s">
        <v>87</v>
      </c>
      <c r="I20" t="s">
        <v>88</v>
      </c>
      <c r="J20" t="s">
        <v>88</v>
      </c>
      <c r="K20" t="s">
        <v>88</v>
      </c>
      <c r="L20" t="s">
        <v>87</v>
      </c>
      <c r="M20" t="s">
        <v>87</v>
      </c>
      <c r="O20" t="s">
        <v>87</v>
      </c>
      <c r="Q20" t="s">
        <v>99</v>
      </c>
      <c r="R20" t="s">
        <v>87</v>
      </c>
      <c r="S20" t="s">
        <v>87</v>
      </c>
      <c r="T20" t="s">
        <v>87</v>
      </c>
      <c r="U20" t="s">
        <v>88</v>
      </c>
      <c r="V20" t="s">
        <v>88</v>
      </c>
      <c r="W20" t="s">
        <v>87</v>
      </c>
      <c r="X20" t="s">
        <v>87</v>
      </c>
      <c r="Y20" t="s">
        <v>87</v>
      </c>
      <c r="AG20" t="s">
        <v>91</v>
      </c>
      <c r="AH20" t="s">
        <v>92</v>
      </c>
      <c r="AI20">
        <v>2</v>
      </c>
      <c r="AJ20">
        <v>2</v>
      </c>
      <c r="AK20">
        <v>4</v>
      </c>
      <c r="AL20">
        <v>4</v>
      </c>
      <c r="AM20">
        <v>4</v>
      </c>
      <c r="AN20" t="s">
        <v>94</v>
      </c>
      <c r="AO20" t="s">
        <v>94</v>
      </c>
      <c r="AP20">
        <v>3</v>
      </c>
      <c r="AQ20">
        <v>3</v>
      </c>
      <c r="AR20">
        <v>3</v>
      </c>
      <c r="AS20">
        <v>3</v>
      </c>
      <c r="AT20" t="s">
        <v>94</v>
      </c>
      <c r="AU20" t="s">
        <v>94</v>
      </c>
      <c r="AV20">
        <v>4</v>
      </c>
      <c r="AW20">
        <v>2</v>
      </c>
      <c r="AX20" t="s">
        <v>94</v>
      </c>
      <c r="AY20">
        <v>2</v>
      </c>
      <c r="AZ20" t="s">
        <v>94</v>
      </c>
      <c r="BA20">
        <v>4</v>
      </c>
      <c r="BB20" t="s">
        <v>94</v>
      </c>
      <c r="BC20" t="s">
        <v>94</v>
      </c>
      <c r="BD20" t="s">
        <v>94</v>
      </c>
      <c r="BE20" t="s">
        <v>94</v>
      </c>
      <c r="BF20">
        <v>3</v>
      </c>
      <c r="BG20">
        <v>2</v>
      </c>
      <c r="BH20">
        <v>4</v>
      </c>
      <c r="BI20">
        <v>2</v>
      </c>
      <c r="BJ20">
        <v>2</v>
      </c>
      <c r="BK20">
        <v>2</v>
      </c>
      <c r="BL20">
        <v>2</v>
      </c>
      <c r="BM20" t="s">
        <v>155</v>
      </c>
      <c r="BN20">
        <v>257.87</v>
      </c>
      <c r="BO20">
        <v>87</v>
      </c>
      <c r="CB20">
        <v>170.87</v>
      </c>
    </row>
    <row r="21" spans="1:80" x14ac:dyDescent="0.35">
      <c r="A21">
        <v>36</v>
      </c>
      <c r="B21" t="s">
        <v>205</v>
      </c>
      <c r="C21">
        <v>2</v>
      </c>
      <c r="D21" t="s">
        <v>85</v>
      </c>
      <c r="E21">
        <v>675884066</v>
      </c>
      <c r="F21" t="s">
        <v>206</v>
      </c>
      <c r="G21" t="s">
        <v>205</v>
      </c>
      <c r="H21" t="s">
        <v>87</v>
      </c>
      <c r="I21" t="s">
        <v>88</v>
      </c>
      <c r="J21" t="s">
        <v>87</v>
      </c>
      <c r="K21" t="s">
        <v>88</v>
      </c>
      <c r="L21" t="s">
        <v>87</v>
      </c>
      <c r="M21" t="s">
        <v>87</v>
      </c>
      <c r="O21" t="s">
        <v>87</v>
      </c>
      <c r="Q21" t="s">
        <v>90</v>
      </c>
      <c r="R21" t="s">
        <v>88</v>
      </c>
      <c r="S21" t="s">
        <v>88</v>
      </c>
      <c r="T21" t="s">
        <v>88</v>
      </c>
      <c r="U21" t="s">
        <v>88</v>
      </c>
      <c r="V21" t="s">
        <v>87</v>
      </c>
      <c r="W21" t="s">
        <v>87</v>
      </c>
      <c r="X21" t="s">
        <v>87</v>
      </c>
      <c r="Y21" t="s">
        <v>87</v>
      </c>
      <c r="AG21" t="s">
        <v>91</v>
      </c>
      <c r="AH21">
        <v>2</v>
      </c>
      <c r="AI21">
        <v>3</v>
      </c>
      <c r="AJ21">
        <v>4</v>
      </c>
      <c r="AK21">
        <v>4</v>
      </c>
      <c r="AL21">
        <v>4</v>
      </c>
      <c r="AM21">
        <v>3</v>
      </c>
      <c r="AN21">
        <v>3</v>
      </c>
      <c r="AO21">
        <v>2</v>
      </c>
      <c r="AP21">
        <v>3</v>
      </c>
      <c r="AQ21">
        <v>4</v>
      </c>
      <c r="AR21">
        <v>3</v>
      </c>
      <c r="AS21">
        <v>4</v>
      </c>
      <c r="AT21">
        <v>3</v>
      </c>
      <c r="AU21">
        <v>3</v>
      </c>
      <c r="AV21">
        <v>3</v>
      </c>
      <c r="AW21">
        <v>3</v>
      </c>
      <c r="AX21">
        <v>4</v>
      </c>
      <c r="AY21">
        <v>2</v>
      </c>
      <c r="AZ21">
        <v>3</v>
      </c>
      <c r="BA21">
        <v>4</v>
      </c>
      <c r="BB21">
        <v>3</v>
      </c>
      <c r="BC21">
        <v>3</v>
      </c>
      <c r="BD21">
        <v>3</v>
      </c>
      <c r="BE21">
        <v>2</v>
      </c>
      <c r="BF21" t="s">
        <v>159</v>
      </c>
      <c r="BG21" t="s">
        <v>159</v>
      </c>
      <c r="BH21" t="s">
        <v>159</v>
      </c>
      <c r="BI21" t="s">
        <v>95</v>
      </c>
      <c r="BJ21">
        <v>3</v>
      </c>
      <c r="BK21">
        <v>2</v>
      </c>
      <c r="BL21">
        <v>2</v>
      </c>
      <c r="BN21">
        <v>463.93</v>
      </c>
      <c r="BO21">
        <v>259.23</v>
      </c>
      <c r="CB21">
        <v>204.7</v>
      </c>
    </row>
    <row r="22" spans="1:80" x14ac:dyDescent="0.35">
      <c r="A22">
        <v>52</v>
      </c>
      <c r="B22" t="s">
        <v>255</v>
      </c>
      <c r="C22">
        <v>2</v>
      </c>
      <c r="D22" t="s">
        <v>85</v>
      </c>
      <c r="E22">
        <v>1194985062</v>
      </c>
      <c r="F22" t="s">
        <v>256</v>
      </c>
      <c r="G22" t="s">
        <v>255</v>
      </c>
      <c r="H22" t="s">
        <v>87</v>
      </c>
      <c r="I22" t="s">
        <v>88</v>
      </c>
      <c r="J22" t="s">
        <v>88</v>
      </c>
      <c r="K22" t="s">
        <v>88</v>
      </c>
      <c r="L22" t="s">
        <v>88</v>
      </c>
      <c r="M22" t="s">
        <v>88</v>
      </c>
      <c r="O22" t="s">
        <v>87</v>
      </c>
      <c r="Q22" t="s">
        <v>90</v>
      </c>
      <c r="R22" t="s">
        <v>87</v>
      </c>
      <c r="S22" t="s">
        <v>87</v>
      </c>
      <c r="T22" t="s">
        <v>88</v>
      </c>
      <c r="U22" t="s">
        <v>88</v>
      </c>
      <c r="V22" t="s">
        <v>88</v>
      </c>
      <c r="W22" t="s">
        <v>88</v>
      </c>
      <c r="X22" t="s">
        <v>88</v>
      </c>
      <c r="Y22" t="s">
        <v>88</v>
      </c>
      <c r="AD22" t="s">
        <v>103</v>
      </c>
      <c r="AE22" t="s">
        <v>120</v>
      </c>
      <c r="AF22" t="s">
        <v>162</v>
      </c>
      <c r="AG22" t="s">
        <v>91</v>
      </c>
      <c r="AH22">
        <v>3</v>
      </c>
      <c r="AI22">
        <v>3</v>
      </c>
      <c r="AJ22">
        <v>3</v>
      </c>
      <c r="AK22">
        <v>3</v>
      </c>
      <c r="AL22" t="s">
        <v>94</v>
      </c>
      <c r="AM22" t="s">
        <v>94</v>
      </c>
      <c r="AN22" t="s">
        <v>94</v>
      </c>
      <c r="AO22" t="s">
        <v>94</v>
      </c>
      <c r="AP22">
        <v>4</v>
      </c>
      <c r="AQ22">
        <v>4</v>
      </c>
      <c r="AR22" t="s">
        <v>94</v>
      </c>
      <c r="AS22" t="s">
        <v>94</v>
      </c>
      <c r="AT22" t="s">
        <v>94</v>
      </c>
      <c r="AU22" t="s">
        <v>94</v>
      </c>
      <c r="AV22" t="s">
        <v>94</v>
      </c>
      <c r="AW22" t="s">
        <v>94</v>
      </c>
      <c r="AX22" t="s">
        <v>94</v>
      </c>
      <c r="AY22" t="s">
        <v>94</v>
      </c>
      <c r="AZ22" t="s">
        <v>94</v>
      </c>
      <c r="BA22" t="s">
        <v>94</v>
      </c>
      <c r="BB22" t="s">
        <v>94</v>
      </c>
      <c r="BC22" t="s">
        <v>94</v>
      </c>
      <c r="BD22" t="s">
        <v>94</v>
      </c>
      <c r="BE22" t="s">
        <v>94</v>
      </c>
      <c r="BF22" t="s">
        <v>95</v>
      </c>
      <c r="BG22" t="s">
        <v>95</v>
      </c>
      <c r="BH22" t="s">
        <v>95</v>
      </c>
      <c r="BI22" t="s">
        <v>95</v>
      </c>
      <c r="BJ22" t="s">
        <v>95</v>
      </c>
      <c r="BK22" t="s">
        <v>95</v>
      </c>
      <c r="BL22" t="s">
        <v>95</v>
      </c>
      <c r="BM22" t="s">
        <v>163</v>
      </c>
      <c r="BN22">
        <v>314.76</v>
      </c>
      <c r="BO22">
        <v>121.03</v>
      </c>
      <c r="CB22">
        <v>193.73</v>
      </c>
    </row>
    <row r="23" spans="1:80" x14ac:dyDescent="0.35">
      <c r="A23">
        <v>16</v>
      </c>
      <c r="B23" t="s">
        <v>144</v>
      </c>
      <c r="C23">
        <v>2</v>
      </c>
      <c r="D23" t="s">
        <v>85</v>
      </c>
      <c r="E23">
        <v>1125774752</v>
      </c>
      <c r="F23" t="s">
        <v>145</v>
      </c>
      <c r="G23" t="s">
        <v>144</v>
      </c>
      <c r="H23" t="s">
        <v>87</v>
      </c>
      <c r="I23" t="s">
        <v>87</v>
      </c>
      <c r="J23" t="s">
        <v>88</v>
      </c>
      <c r="K23" t="s">
        <v>88</v>
      </c>
      <c r="L23" t="s">
        <v>87</v>
      </c>
      <c r="M23" t="s">
        <v>87</v>
      </c>
      <c r="O23" t="s">
        <v>87</v>
      </c>
      <c r="Q23" t="s">
        <v>115</v>
      </c>
      <c r="R23" t="s">
        <v>102</v>
      </c>
      <c r="S23" t="s">
        <v>87</v>
      </c>
      <c r="T23" t="s">
        <v>88</v>
      </c>
      <c r="U23" t="s">
        <v>88</v>
      </c>
      <c r="V23" t="s">
        <v>88</v>
      </c>
      <c r="W23" t="s">
        <v>88</v>
      </c>
      <c r="X23" t="s">
        <v>88</v>
      </c>
      <c r="Y23" t="s">
        <v>87</v>
      </c>
      <c r="Z23" t="s">
        <v>146</v>
      </c>
      <c r="AD23">
        <v>3</v>
      </c>
      <c r="AE23" t="s">
        <v>103</v>
      </c>
      <c r="AG23" t="s">
        <v>104</v>
      </c>
      <c r="AH23">
        <v>4</v>
      </c>
      <c r="AI23">
        <v>4</v>
      </c>
      <c r="AJ23" t="s">
        <v>93</v>
      </c>
      <c r="AK23" t="s">
        <v>93</v>
      </c>
      <c r="AL23">
        <v>3</v>
      </c>
      <c r="AM23">
        <v>2</v>
      </c>
      <c r="AN23" t="s">
        <v>111</v>
      </c>
      <c r="AO23" t="s">
        <v>111</v>
      </c>
      <c r="AP23" t="s">
        <v>111</v>
      </c>
      <c r="AQ23" t="s">
        <v>111</v>
      </c>
      <c r="AR23" t="s">
        <v>111</v>
      </c>
      <c r="AS23" t="s">
        <v>111</v>
      </c>
      <c r="AT23">
        <v>3</v>
      </c>
      <c r="AU23" t="s">
        <v>111</v>
      </c>
      <c r="AV23">
        <v>4</v>
      </c>
      <c r="AW23">
        <v>4</v>
      </c>
      <c r="AX23">
        <v>3</v>
      </c>
      <c r="AY23" t="s">
        <v>111</v>
      </c>
      <c r="AZ23">
        <v>4</v>
      </c>
      <c r="BA23">
        <v>3</v>
      </c>
      <c r="BB23">
        <v>3</v>
      </c>
      <c r="BC23">
        <v>3</v>
      </c>
      <c r="BD23">
        <v>2</v>
      </c>
      <c r="BE23">
        <v>3</v>
      </c>
      <c r="BF23">
        <v>3</v>
      </c>
      <c r="BG23">
        <v>3</v>
      </c>
      <c r="BH23" t="s">
        <v>159</v>
      </c>
      <c r="BI23" t="s">
        <v>95</v>
      </c>
      <c r="BJ23" t="s">
        <v>95</v>
      </c>
      <c r="BK23" t="s">
        <v>95</v>
      </c>
      <c r="BL23" t="s">
        <v>95</v>
      </c>
      <c r="BN23">
        <v>222.77</v>
      </c>
      <c r="BO23">
        <v>111.17</v>
      </c>
      <c r="CB23">
        <v>111.6</v>
      </c>
    </row>
    <row r="24" spans="1:80" x14ac:dyDescent="0.35">
      <c r="A24">
        <v>8</v>
      </c>
      <c r="B24" t="s">
        <v>123</v>
      </c>
      <c r="C24">
        <v>2</v>
      </c>
      <c r="D24" t="s">
        <v>85</v>
      </c>
      <c r="E24">
        <v>882291080</v>
      </c>
      <c r="F24" t="s">
        <v>124</v>
      </c>
      <c r="G24" t="s">
        <v>123</v>
      </c>
      <c r="H24" t="s">
        <v>88</v>
      </c>
      <c r="I24" t="s">
        <v>88</v>
      </c>
      <c r="J24" t="s">
        <v>88</v>
      </c>
      <c r="K24" t="s">
        <v>88</v>
      </c>
      <c r="L24" t="s">
        <v>88</v>
      </c>
      <c r="M24" t="s">
        <v>87</v>
      </c>
      <c r="O24" t="s">
        <v>88</v>
      </c>
      <c r="P24" t="s">
        <v>125</v>
      </c>
      <c r="Q24" t="s">
        <v>115</v>
      </c>
      <c r="S24" t="s">
        <v>87</v>
      </c>
      <c r="T24" t="s">
        <v>87</v>
      </c>
      <c r="U24" t="s">
        <v>88</v>
      </c>
      <c r="V24" t="s">
        <v>87</v>
      </c>
      <c r="W24" t="s">
        <v>88</v>
      </c>
      <c r="X24" t="s">
        <v>87</v>
      </c>
      <c r="Y24" t="s">
        <v>88</v>
      </c>
      <c r="AD24">
        <v>3</v>
      </c>
      <c r="AE24">
        <v>2</v>
      </c>
      <c r="AF24" t="s">
        <v>168</v>
      </c>
      <c r="AG24" t="s">
        <v>91</v>
      </c>
      <c r="AH24">
        <v>2</v>
      </c>
      <c r="AI24">
        <v>3</v>
      </c>
      <c r="AJ24">
        <v>3</v>
      </c>
      <c r="AK24" t="s">
        <v>93</v>
      </c>
      <c r="AL24">
        <v>4</v>
      </c>
      <c r="AM24">
        <v>3</v>
      </c>
      <c r="AN24">
        <v>3</v>
      </c>
      <c r="AO24">
        <v>2</v>
      </c>
      <c r="AP24">
        <v>3</v>
      </c>
      <c r="AQ24">
        <v>2</v>
      </c>
      <c r="AR24">
        <v>3</v>
      </c>
      <c r="AS24">
        <v>3</v>
      </c>
      <c r="AT24">
        <v>3</v>
      </c>
      <c r="AU24">
        <v>4</v>
      </c>
      <c r="AV24">
        <v>4</v>
      </c>
      <c r="AW24">
        <v>2</v>
      </c>
      <c r="AX24">
        <v>3</v>
      </c>
      <c r="AY24" t="s">
        <v>111</v>
      </c>
      <c r="AZ24">
        <v>2</v>
      </c>
      <c r="BA24">
        <v>2</v>
      </c>
      <c r="BB24">
        <v>3</v>
      </c>
      <c r="BC24">
        <v>3</v>
      </c>
      <c r="BD24">
        <v>3</v>
      </c>
      <c r="BE24">
        <v>2</v>
      </c>
      <c r="BF24">
        <v>3</v>
      </c>
      <c r="BG24">
        <v>3</v>
      </c>
      <c r="BH24">
        <v>3</v>
      </c>
      <c r="BI24">
        <v>4</v>
      </c>
      <c r="BJ24">
        <v>3</v>
      </c>
      <c r="BK24">
        <v>3</v>
      </c>
      <c r="BL24">
        <v>4</v>
      </c>
      <c r="BN24">
        <v>273.13</v>
      </c>
      <c r="BO24">
        <v>132.25</v>
      </c>
      <c r="CB24">
        <v>140.88</v>
      </c>
    </row>
    <row r="25" spans="1:80" x14ac:dyDescent="0.35">
      <c r="A25">
        <v>4</v>
      </c>
      <c r="B25" t="s">
        <v>105</v>
      </c>
      <c r="C25">
        <v>2</v>
      </c>
      <c r="D25" t="s">
        <v>85</v>
      </c>
      <c r="E25">
        <v>878276896</v>
      </c>
      <c r="F25" t="s">
        <v>106</v>
      </c>
      <c r="G25" t="s">
        <v>105</v>
      </c>
      <c r="H25" t="s">
        <v>87</v>
      </c>
      <c r="I25" t="s">
        <v>88</v>
      </c>
      <c r="J25" t="s">
        <v>88</v>
      </c>
      <c r="K25" t="s">
        <v>88</v>
      </c>
      <c r="L25" t="s">
        <v>87</v>
      </c>
      <c r="M25" t="s">
        <v>88</v>
      </c>
      <c r="O25" t="s">
        <v>87</v>
      </c>
      <c r="Q25" t="s">
        <v>107</v>
      </c>
      <c r="R25" t="s">
        <v>88</v>
      </c>
      <c r="S25" t="s">
        <v>87</v>
      </c>
      <c r="T25" t="s">
        <v>88</v>
      </c>
      <c r="U25" t="s">
        <v>88</v>
      </c>
      <c r="V25" t="s">
        <v>88</v>
      </c>
      <c r="W25" t="s">
        <v>88</v>
      </c>
      <c r="X25" t="s">
        <v>88</v>
      </c>
      <c r="Y25" t="s">
        <v>88</v>
      </c>
      <c r="Z25" t="s">
        <v>108</v>
      </c>
      <c r="AG25" t="s">
        <v>104</v>
      </c>
      <c r="AH25" t="s">
        <v>93</v>
      </c>
      <c r="AI25">
        <v>4</v>
      </c>
      <c r="AJ25">
        <v>3</v>
      </c>
      <c r="AK25" t="s">
        <v>93</v>
      </c>
      <c r="AL25" t="s">
        <v>94</v>
      </c>
      <c r="AM25" t="s">
        <v>94</v>
      </c>
      <c r="AN25">
        <v>4</v>
      </c>
      <c r="AO25" t="s">
        <v>94</v>
      </c>
      <c r="AP25">
        <v>4</v>
      </c>
      <c r="AQ25">
        <v>4</v>
      </c>
      <c r="AR25">
        <v>3</v>
      </c>
      <c r="AS25">
        <v>3</v>
      </c>
      <c r="AT25">
        <v>4</v>
      </c>
      <c r="AU25" t="s">
        <v>94</v>
      </c>
      <c r="AV25">
        <v>3</v>
      </c>
      <c r="AW25">
        <v>4</v>
      </c>
      <c r="AX25">
        <v>4</v>
      </c>
      <c r="AY25">
        <v>3</v>
      </c>
      <c r="AZ25">
        <v>3</v>
      </c>
      <c r="BA25">
        <v>3</v>
      </c>
      <c r="BB25">
        <v>4</v>
      </c>
      <c r="BC25">
        <v>4</v>
      </c>
      <c r="BD25" t="s">
        <v>94</v>
      </c>
      <c r="BE25" t="s">
        <v>94</v>
      </c>
      <c r="BF25">
        <v>3</v>
      </c>
      <c r="BG25" t="s">
        <v>95</v>
      </c>
      <c r="BH25">
        <v>4</v>
      </c>
      <c r="BI25">
        <v>3</v>
      </c>
      <c r="BJ25" t="s">
        <v>159</v>
      </c>
      <c r="BK25">
        <v>3</v>
      </c>
      <c r="BL25">
        <v>3</v>
      </c>
      <c r="BN25">
        <v>250.12</v>
      </c>
      <c r="BO25">
        <v>153.28</v>
      </c>
      <c r="CB25">
        <v>96.84</v>
      </c>
    </row>
    <row r="26" spans="1:80" x14ac:dyDescent="0.35">
      <c r="A26">
        <v>1</v>
      </c>
      <c r="B26" t="s">
        <v>84</v>
      </c>
      <c r="C26">
        <v>2</v>
      </c>
      <c r="D26" t="s">
        <v>85</v>
      </c>
      <c r="E26">
        <v>2132325987</v>
      </c>
      <c r="F26" t="s">
        <v>86</v>
      </c>
      <c r="G26" t="s">
        <v>84</v>
      </c>
      <c r="H26" t="s">
        <v>87</v>
      </c>
      <c r="I26" t="s">
        <v>88</v>
      </c>
      <c r="J26" t="s">
        <v>87</v>
      </c>
      <c r="K26" t="s">
        <v>88</v>
      </c>
      <c r="L26" t="s">
        <v>87</v>
      </c>
      <c r="M26" t="s">
        <v>88</v>
      </c>
      <c r="O26" t="s">
        <v>88</v>
      </c>
      <c r="P26" t="s">
        <v>89</v>
      </c>
      <c r="Q26" t="s">
        <v>90</v>
      </c>
      <c r="S26" t="s">
        <v>88</v>
      </c>
      <c r="T26" t="s">
        <v>88</v>
      </c>
      <c r="U26" t="s">
        <v>88</v>
      </c>
      <c r="V26" t="s">
        <v>88</v>
      </c>
      <c r="W26" t="s">
        <v>87</v>
      </c>
      <c r="X26" t="s">
        <v>87</v>
      </c>
      <c r="Y26" t="s">
        <v>87</v>
      </c>
      <c r="AD26" t="s">
        <v>103</v>
      </c>
      <c r="AE26" t="s">
        <v>120</v>
      </c>
      <c r="AG26" t="s">
        <v>104</v>
      </c>
      <c r="AH26">
        <v>2</v>
      </c>
      <c r="AI26">
        <v>4</v>
      </c>
      <c r="AJ26" t="s">
        <v>93</v>
      </c>
      <c r="AK26" t="s">
        <v>93</v>
      </c>
      <c r="AL26">
        <v>4</v>
      </c>
      <c r="AM26">
        <v>4</v>
      </c>
      <c r="AN26">
        <v>2</v>
      </c>
      <c r="AO26" t="s">
        <v>111</v>
      </c>
      <c r="AP26" t="s">
        <v>111</v>
      </c>
      <c r="AQ26" t="s">
        <v>111</v>
      </c>
      <c r="AR26">
        <v>3</v>
      </c>
      <c r="AS26">
        <v>3</v>
      </c>
      <c r="AT26">
        <v>4</v>
      </c>
      <c r="AU26">
        <v>4</v>
      </c>
      <c r="AV26" t="s">
        <v>94</v>
      </c>
      <c r="AW26" t="s">
        <v>94</v>
      </c>
      <c r="AX26">
        <v>3</v>
      </c>
      <c r="AY26">
        <v>3</v>
      </c>
      <c r="AZ26" t="s">
        <v>94</v>
      </c>
      <c r="BA26" t="s">
        <v>94</v>
      </c>
      <c r="BB26" t="s">
        <v>111</v>
      </c>
      <c r="BC26" t="s">
        <v>111</v>
      </c>
      <c r="BD26" t="s">
        <v>94</v>
      </c>
      <c r="BE26" t="s">
        <v>94</v>
      </c>
      <c r="BF26" t="s">
        <v>95</v>
      </c>
      <c r="BG26" t="s">
        <v>95</v>
      </c>
      <c r="BH26" t="s">
        <v>95</v>
      </c>
      <c r="BI26" t="s">
        <v>95</v>
      </c>
      <c r="BJ26" t="s">
        <v>95</v>
      </c>
      <c r="BK26" t="s">
        <v>95</v>
      </c>
      <c r="BL26" t="s">
        <v>95</v>
      </c>
      <c r="BN26">
        <v>519.22</v>
      </c>
      <c r="BO26">
        <v>111.23</v>
      </c>
      <c r="CB26">
        <v>407.99</v>
      </c>
    </row>
    <row r="27" spans="1:80" x14ac:dyDescent="0.35">
      <c r="A27">
        <v>50</v>
      </c>
      <c r="B27" t="s">
        <v>247</v>
      </c>
      <c r="C27">
        <v>2</v>
      </c>
      <c r="D27" t="s">
        <v>85</v>
      </c>
      <c r="E27">
        <v>756894139</v>
      </c>
      <c r="F27" t="s">
        <v>248</v>
      </c>
      <c r="G27" t="s">
        <v>247</v>
      </c>
      <c r="H27" t="s">
        <v>88</v>
      </c>
      <c r="I27" t="s">
        <v>88</v>
      </c>
      <c r="J27" t="s">
        <v>88</v>
      </c>
      <c r="K27" t="s">
        <v>88</v>
      </c>
      <c r="L27" t="s">
        <v>87</v>
      </c>
      <c r="M27" t="s">
        <v>87</v>
      </c>
      <c r="O27" t="s">
        <v>87</v>
      </c>
      <c r="Q27" t="s">
        <v>115</v>
      </c>
      <c r="R27" t="s">
        <v>87</v>
      </c>
      <c r="S27" t="s">
        <v>88</v>
      </c>
      <c r="T27" t="s">
        <v>88</v>
      </c>
      <c r="U27" t="s">
        <v>88</v>
      </c>
      <c r="V27" t="s">
        <v>88</v>
      </c>
      <c r="W27" t="s">
        <v>87</v>
      </c>
      <c r="X27" t="s">
        <v>87</v>
      </c>
      <c r="Y27" t="s">
        <v>87</v>
      </c>
      <c r="AG27" t="s">
        <v>91</v>
      </c>
      <c r="AH27">
        <v>2</v>
      </c>
      <c r="AI27">
        <v>3</v>
      </c>
      <c r="AJ27">
        <v>3</v>
      </c>
      <c r="AK27" t="s">
        <v>93</v>
      </c>
      <c r="AL27">
        <v>3</v>
      </c>
      <c r="AM27">
        <v>4</v>
      </c>
      <c r="AN27" t="s">
        <v>94</v>
      </c>
      <c r="AO27" t="s">
        <v>94</v>
      </c>
      <c r="AP27">
        <v>2</v>
      </c>
      <c r="AQ27" t="s">
        <v>111</v>
      </c>
      <c r="AR27">
        <v>3</v>
      </c>
      <c r="AS27">
        <v>3</v>
      </c>
      <c r="AT27" t="s">
        <v>94</v>
      </c>
      <c r="AU27" t="s">
        <v>94</v>
      </c>
      <c r="AV27">
        <v>3</v>
      </c>
      <c r="AW27">
        <v>3</v>
      </c>
      <c r="AX27" t="s">
        <v>94</v>
      </c>
      <c r="AY27" t="s">
        <v>94</v>
      </c>
      <c r="AZ27" t="s">
        <v>94</v>
      </c>
      <c r="BA27">
        <v>4</v>
      </c>
      <c r="BB27" t="s">
        <v>94</v>
      </c>
      <c r="BC27" t="s">
        <v>94</v>
      </c>
      <c r="BD27" t="s">
        <v>94</v>
      </c>
      <c r="BE27" t="s">
        <v>94</v>
      </c>
      <c r="BF27">
        <v>3</v>
      </c>
      <c r="BG27">
        <v>4</v>
      </c>
      <c r="BH27" t="s">
        <v>95</v>
      </c>
      <c r="BI27">
        <v>3</v>
      </c>
      <c r="BJ27">
        <v>3</v>
      </c>
      <c r="BK27">
        <v>4</v>
      </c>
      <c r="BL27">
        <v>4</v>
      </c>
      <c r="BN27">
        <v>187.76</v>
      </c>
      <c r="BO27">
        <v>76.56</v>
      </c>
      <c r="CB27">
        <v>111.2</v>
      </c>
    </row>
    <row r="28" spans="1:80" x14ac:dyDescent="0.35">
      <c r="A28">
        <v>49</v>
      </c>
      <c r="B28" t="s">
        <v>243</v>
      </c>
      <c r="C28">
        <v>2</v>
      </c>
      <c r="D28" t="s">
        <v>85</v>
      </c>
      <c r="E28">
        <v>1684091701</v>
      </c>
      <c r="F28" t="s">
        <v>244</v>
      </c>
      <c r="G28" t="s">
        <v>243</v>
      </c>
      <c r="H28" t="s">
        <v>87</v>
      </c>
      <c r="I28" t="s">
        <v>88</v>
      </c>
      <c r="J28" t="s">
        <v>88</v>
      </c>
      <c r="K28" t="s">
        <v>88</v>
      </c>
      <c r="L28" t="s">
        <v>88</v>
      </c>
      <c r="M28" t="s">
        <v>87</v>
      </c>
      <c r="O28" t="s">
        <v>87</v>
      </c>
      <c r="Q28" t="s">
        <v>90</v>
      </c>
      <c r="R28" t="s">
        <v>88</v>
      </c>
      <c r="S28" t="s">
        <v>87</v>
      </c>
      <c r="T28" t="s">
        <v>87</v>
      </c>
      <c r="U28" t="s">
        <v>88</v>
      </c>
      <c r="V28" t="s">
        <v>88</v>
      </c>
      <c r="W28" t="s">
        <v>88</v>
      </c>
      <c r="X28" t="s">
        <v>88</v>
      </c>
      <c r="Y28" t="s">
        <v>88</v>
      </c>
      <c r="AD28">
        <v>2</v>
      </c>
      <c r="AE28" t="s">
        <v>103</v>
      </c>
      <c r="AF28" t="s">
        <v>179</v>
      </c>
      <c r="AG28" t="s">
        <v>104</v>
      </c>
      <c r="AH28">
        <v>2</v>
      </c>
      <c r="AI28">
        <v>3</v>
      </c>
      <c r="AJ28">
        <v>3</v>
      </c>
      <c r="AK28" t="s">
        <v>93</v>
      </c>
      <c r="AL28">
        <v>4</v>
      </c>
      <c r="AM28">
        <v>4</v>
      </c>
      <c r="AN28">
        <v>3</v>
      </c>
      <c r="AO28">
        <v>3</v>
      </c>
      <c r="AP28">
        <v>3</v>
      </c>
      <c r="AQ28">
        <v>4</v>
      </c>
      <c r="AR28">
        <v>3</v>
      </c>
      <c r="AS28">
        <v>3</v>
      </c>
      <c r="AT28">
        <v>3</v>
      </c>
      <c r="AU28">
        <v>3</v>
      </c>
      <c r="AV28">
        <v>4</v>
      </c>
      <c r="AW28">
        <v>4</v>
      </c>
      <c r="AX28">
        <v>2</v>
      </c>
      <c r="AY28">
        <v>3</v>
      </c>
      <c r="AZ28" t="s">
        <v>111</v>
      </c>
      <c r="BA28">
        <v>3</v>
      </c>
      <c r="BB28" t="s">
        <v>111</v>
      </c>
      <c r="BC28">
        <v>3</v>
      </c>
      <c r="BD28">
        <v>2</v>
      </c>
      <c r="BE28">
        <v>3</v>
      </c>
      <c r="BF28">
        <v>3</v>
      </c>
      <c r="BG28">
        <v>3</v>
      </c>
      <c r="BH28">
        <v>3</v>
      </c>
      <c r="BI28">
        <v>3</v>
      </c>
      <c r="BJ28">
        <v>3</v>
      </c>
      <c r="BK28">
        <v>3</v>
      </c>
      <c r="BL28">
        <v>3</v>
      </c>
      <c r="BN28">
        <v>215.05</v>
      </c>
      <c r="BO28">
        <v>103.83</v>
      </c>
      <c r="CB28">
        <v>111.22</v>
      </c>
    </row>
    <row r="29" spans="1:80" x14ac:dyDescent="0.35">
      <c r="A29">
        <v>17</v>
      </c>
      <c r="B29" t="s">
        <v>149</v>
      </c>
      <c r="C29">
        <v>2</v>
      </c>
      <c r="D29" t="s">
        <v>85</v>
      </c>
      <c r="E29">
        <v>1298467234</v>
      </c>
      <c r="F29" t="s">
        <v>150</v>
      </c>
      <c r="G29" t="s">
        <v>149</v>
      </c>
      <c r="H29" t="s">
        <v>87</v>
      </c>
      <c r="I29" t="s">
        <v>88</v>
      </c>
      <c r="J29" t="s">
        <v>87</v>
      </c>
      <c r="K29" t="s">
        <v>88</v>
      </c>
      <c r="L29" t="s">
        <v>87</v>
      </c>
      <c r="M29" t="s">
        <v>88</v>
      </c>
      <c r="O29" t="s">
        <v>87</v>
      </c>
      <c r="Q29" t="s">
        <v>90</v>
      </c>
      <c r="R29" t="s">
        <v>102</v>
      </c>
      <c r="S29" t="s">
        <v>87</v>
      </c>
      <c r="T29" t="s">
        <v>88</v>
      </c>
      <c r="U29" t="s">
        <v>88</v>
      </c>
      <c r="V29" t="s">
        <v>87</v>
      </c>
      <c r="W29" t="s">
        <v>87</v>
      </c>
      <c r="X29" t="s">
        <v>88</v>
      </c>
      <c r="Y29" t="s">
        <v>88</v>
      </c>
      <c r="AD29">
        <v>3</v>
      </c>
      <c r="AE29" t="s">
        <v>120</v>
      </c>
      <c r="AG29" t="s">
        <v>104</v>
      </c>
      <c r="AH29" t="s">
        <v>92</v>
      </c>
      <c r="AI29">
        <v>2</v>
      </c>
      <c r="AJ29">
        <v>4</v>
      </c>
      <c r="AK29" t="s">
        <v>93</v>
      </c>
      <c r="AL29">
        <v>3</v>
      </c>
      <c r="AM29">
        <v>3</v>
      </c>
      <c r="AN29">
        <v>4</v>
      </c>
      <c r="AO29">
        <v>4</v>
      </c>
      <c r="AP29" t="s">
        <v>111</v>
      </c>
      <c r="AQ29" t="s">
        <v>111</v>
      </c>
      <c r="AR29">
        <v>2</v>
      </c>
      <c r="AS29">
        <v>2</v>
      </c>
      <c r="AT29" t="s">
        <v>94</v>
      </c>
      <c r="AU29" t="s">
        <v>94</v>
      </c>
      <c r="AV29">
        <v>4</v>
      </c>
      <c r="AW29">
        <v>4</v>
      </c>
      <c r="AX29">
        <v>4</v>
      </c>
      <c r="AY29">
        <v>4</v>
      </c>
      <c r="AZ29" t="s">
        <v>94</v>
      </c>
      <c r="BA29" t="s">
        <v>94</v>
      </c>
      <c r="BB29" t="s">
        <v>111</v>
      </c>
      <c r="BC29" t="s">
        <v>111</v>
      </c>
      <c r="BD29" t="s">
        <v>111</v>
      </c>
      <c r="BE29" t="s">
        <v>111</v>
      </c>
      <c r="BF29">
        <v>3</v>
      </c>
      <c r="BG29">
        <v>3</v>
      </c>
      <c r="BH29">
        <v>3</v>
      </c>
      <c r="BI29" t="s">
        <v>95</v>
      </c>
      <c r="BJ29">
        <v>3</v>
      </c>
      <c r="BK29">
        <v>3</v>
      </c>
      <c r="BL29">
        <v>4</v>
      </c>
      <c r="BN29">
        <v>247.24</v>
      </c>
      <c r="BO29">
        <v>75.7</v>
      </c>
      <c r="CB29">
        <v>171.54</v>
      </c>
    </row>
    <row r="30" spans="1:80" x14ac:dyDescent="0.35">
      <c r="A30">
        <v>41</v>
      </c>
      <c r="B30" t="s">
        <v>221</v>
      </c>
      <c r="C30">
        <v>2</v>
      </c>
      <c r="D30" t="s">
        <v>85</v>
      </c>
      <c r="E30">
        <v>543272215</v>
      </c>
      <c r="F30" t="s">
        <v>222</v>
      </c>
      <c r="G30" t="s">
        <v>221</v>
      </c>
      <c r="H30" t="s">
        <v>87</v>
      </c>
      <c r="I30" t="s">
        <v>88</v>
      </c>
      <c r="J30" t="s">
        <v>88</v>
      </c>
      <c r="K30" t="s">
        <v>88</v>
      </c>
      <c r="L30" t="s">
        <v>87</v>
      </c>
      <c r="M30" t="s">
        <v>88</v>
      </c>
      <c r="O30" t="s">
        <v>88</v>
      </c>
      <c r="P30" t="s">
        <v>223</v>
      </c>
      <c r="Q30" t="s">
        <v>90</v>
      </c>
      <c r="S30" t="s">
        <v>88</v>
      </c>
      <c r="T30" t="s">
        <v>87</v>
      </c>
      <c r="U30" t="s">
        <v>88</v>
      </c>
      <c r="V30" t="s">
        <v>88</v>
      </c>
      <c r="W30" t="s">
        <v>87</v>
      </c>
      <c r="X30" t="s">
        <v>87</v>
      </c>
      <c r="Y30" t="s">
        <v>88</v>
      </c>
      <c r="AD30">
        <v>3</v>
      </c>
      <c r="AE30">
        <v>3</v>
      </c>
      <c r="AF30" t="s">
        <v>184</v>
      </c>
      <c r="AG30" t="s">
        <v>104</v>
      </c>
      <c r="AH30">
        <v>3</v>
      </c>
      <c r="AI30">
        <v>2</v>
      </c>
      <c r="AJ30" t="s">
        <v>93</v>
      </c>
      <c r="AK30" t="s">
        <v>93</v>
      </c>
      <c r="AL30">
        <v>4</v>
      </c>
      <c r="AM30">
        <v>4</v>
      </c>
      <c r="AN30">
        <v>2</v>
      </c>
      <c r="AO30">
        <v>2</v>
      </c>
      <c r="AP30">
        <v>3</v>
      </c>
      <c r="AQ30" t="s">
        <v>94</v>
      </c>
      <c r="AR30">
        <v>3</v>
      </c>
      <c r="AS30">
        <v>3</v>
      </c>
      <c r="AT30" t="s">
        <v>94</v>
      </c>
      <c r="AU30" t="s">
        <v>94</v>
      </c>
      <c r="AV30">
        <v>4</v>
      </c>
      <c r="AW30" t="s">
        <v>94</v>
      </c>
      <c r="AX30">
        <v>3</v>
      </c>
      <c r="AY30">
        <v>3</v>
      </c>
      <c r="AZ30">
        <v>2</v>
      </c>
      <c r="BA30" t="s">
        <v>111</v>
      </c>
      <c r="BB30">
        <v>3</v>
      </c>
      <c r="BC30">
        <v>3</v>
      </c>
      <c r="BD30">
        <v>2</v>
      </c>
      <c r="BE30" t="s">
        <v>111</v>
      </c>
      <c r="BF30" t="s">
        <v>95</v>
      </c>
      <c r="BG30" t="s">
        <v>95</v>
      </c>
      <c r="BH30" t="s">
        <v>95</v>
      </c>
      <c r="BI30" t="s">
        <v>95</v>
      </c>
      <c r="BJ30" t="s">
        <v>95</v>
      </c>
      <c r="BK30" t="s">
        <v>95</v>
      </c>
      <c r="BL30" t="s">
        <v>95</v>
      </c>
      <c r="BM30" t="s">
        <v>185</v>
      </c>
      <c r="BN30">
        <v>198.26</v>
      </c>
      <c r="BO30">
        <v>88.62</v>
      </c>
      <c r="CB30">
        <v>109.64</v>
      </c>
    </row>
    <row r="31" spans="1:80" x14ac:dyDescent="0.35">
      <c r="A31">
        <v>33</v>
      </c>
      <c r="B31" t="s">
        <v>197</v>
      </c>
      <c r="C31">
        <v>2</v>
      </c>
      <c r="D31" t="s">
        <v>85</v>
      </c>
      <c r="E31">
        <v>1872992162</v>
      </c>
      <c r="F31" t="s">
        <v>198</v>
      </c>
      <c r="G31" t="s">
        <v>197</v>
      </c>
      <c r="H31" t="s">
        <v>87</v>
      </c>
      <c r="I31" t="s">
        <v>88</v>
      </c>
      <c r="J31" t="s">
        <v>87</v>
      </c>
      <c r="K31" t="s">
        <v>88</v>
      </c>
      <c r="L31" t="s">
        <v>88</v>
      </c>
      <c r="M31" t="s">
        <v>87</v>
      </c>
      <c r="O31" t="s">
        <v>88</v>
      </c>
      <c r="P31" t="s">
        <v>199</v>
      </c>
      <c r="Q31" t="s">
        <v>90</v>
      </c>
      <c r="S31" t="s">
        <v>87</v>
      </c>
      <c r="T31" t="s">
        <v>87</v>
      </c>
      <c r="U31" t="s">
        <v>88</v>
      </c>
      <c r="V31" t="s">
        <v>88</v>
      </c>
      <c r="W31" t="s">
        <v>87</v>
      </c>
      <c r="X31" t="s">
        <v>87</v>
      </c>
      <c r="Y31" t="s">
        <v>88</v>
      </c>
      <c r="AD31">
        <v>3</v>
      </c>
      <c r="AE31" t="s">
        <v>103</v>
      </c>
      <c r="AF31" t="s">
        <v>188</v>
      </c>
      <c r="AG31" t="s">
        <v>104</v>
      </c>
      <c r="AH31">
        <v>3</v>
      </c>
      <c r="AI31">
        <v>4</v>
      </c>
      <c r="AJ31" t="s">
        <v>93</v>
      </c>
      <c r="AK31" t="s">
        <v>93</v>
      </c>
      <c r="AL31" t="s">
        <v>94</v>
      </c>
      <c r="AM31" t="s">
        <v>94</v>
      </c>
      <c r="AN31" t="s">
        <v>94</v>
      </c>
      <c r="AO31">
        <v>4</v>
      </c>
      <c r="AP31" t="s">
        <v>94</v>
      </c>
      <c r="AQ31">
        <v>4</v>
      </c>
      <c r="AR31">
        <v>4</v>
      </c>
      <c r="AS31">
        <v>2</v>
      </c>
      <c r="AT31" t="s">
        <v>94</v>
      </c>
      <c r="AU31" t="s">
        <v>94</v>
      </c>
      <c r="AV31" t="s">
        <v>94</v>
      </c>
      <c r="AW31" t="s">
        <v>94</v>
      </c>
      <c r="AX31" t="s">
        <v>94</v>
      </c>
      <c r="AY31">
        <v>3</v>
      </c>
      <c r="AZ31" t="s">
        <v>94</v>
      </c>
      <c r="BA31">
        <v>3</v>
      </c>
      <c r="BB31" t="s">
        <v>94</v>
      </c>
      <c r="BC31">
        <v>4</v>
      </c>
      <c r="BD31" t="s">
        <v>94</v>
      </c>
      <c r="BE31">
        <v>4</v>
      </c>
      <c r="BF31" t="s">
        <v>95</v>
      </c>
      <c r="BG31" t="s">
        <v>95</v>
      </c>
      <c r="BH31" t="s">
        <v>95</v>
      </c>
      <c r="BI31" t="s">
        <v>95</v>
      </c>
      <c r="BJ31" t="s">
        <v>95</v>
      </c>
      <c r="BK31" t="s">
        <v>95</v>
      </c>
      <c r="BL31" t="s">
        <v>95</v>
      </c>
      <c r="BM31" t="s">
        <v>189</v>
      </c>
      <c r="BN31">
        <v>1132.3800000000001</v>
      </c>
      <c r="BO31">
        <v>177.36</v>
      </c>
      <c r="CB31">
        <v>955.02</v>
      </c>
    </row>
    <row r="32" spans="1:80" x14ac:dyDescent="0.35">
      <c r="A32">
        <v>3</v>
      </c>
      <c r="B32" t="s">
        <v>100</v>
      </c>
      <c r="C32">
        <v>2</v>
      </c>
      <c r="D32" t="s">
        <v>85</v>
      </c>
      <c r="E32">
        <v>1474574306</v>
      </c>
      <c r="F32" t="s">
        <v>101</v>
      </c>
      <c r="G32" t="s">
        <v>100</v>
      </c>
      <c r="H32" t="s">
        <v>87</v>
      </c>
      <c r="I32" t="s">
        <v>88</v>
      </c>
      <c r="J32" t="s">
        <v>88</v>
      </c>
      <c r="K32" t="s">
        <v>88</v>
      </c>
      <c r="L32" t="s">
        <v>87</v>
      </c>
      <c r="M32" t="s">
        <v>87</v>
      </c>
      <c r="O32" t="s">
        <v>87</v>
      </c>
      <c r="Q32" t="s">
        <v>90</v>
      </c>
      <c r="R32" t="s">
        <v>102</v>
      </c>
      <c r="S32" t="s">
        <v>88</v>
      </c>
      <c r="T32" t="s">
        <v>88</v>
      </c>
      <c r="U32" t="s">
        <v>88</v>
      </c>
      <c r="V32" t="s">
        <v>88</v>
      </c>
      <c r="W32" t="s">
        <v>87</v>
      </c>
      <c r="X32" t="s">
        <v>88</v>
      </c>
      <c r="Y32" t="s">
        <v>88</v>
      </c>
      <c r="AD32">
        <v>4</v>
      </c>
      <c r="AE32" t="s">
        <v>103</v>
      </c>
      <c r="AG32" t="s">
        <v>104</v>
      </c>
      <c r="AH32">
        <v>2</v>
      </c>
      <c r="AI32">
        <v>3</v>
      </c>
      <c r="AJ32" t="s">
        <v>93</v>
      </c>
      <c r="AK32" t="s">
        <v>93</v>
      </c>
      <c r="AL32">
        <v>3</v>
      </c>
      <c r="AM32">
        <v>4</v>
      </c>
      <c r="AN32">
        <v>4</v>
      </c>
      <c r="AO32">
        <v>4</v>
      </c>
      <c r="AP32">
        <v>3</v>
      </c>
      <c r="AQ32">
        <v>2</v>
      </c>
      <c r="AR32">
        <v>3</v>
      </c>
      <c r="AS32">
        <v>3</v>
      </c>
      <c r="AT32">
        <v>4</v>
      </c>
      <c r="AU32">
        <v>4</v>
      </c>
      <c r="AV32">
        <v>3</v>
      </c>
      <c r="AW32">
        <v>4</v>
      </c>
      <c r="AX32" t="s">
        <v>94</v>
      </c>
      <c r="AY32" t="s">
        <v>94</v>
      </c>
      <c r="AZ32">
        <v>4</v>
      </c>
      <c r="BA32" t="s">
        <v>94</v>
      </c>
      <c r="BB32">
        <v>2</v>
      </c>
      <c r="BC32">
        <v>2</v>
      </c>
      <c r="BD32">
        <v>3</v>
      </c>
      <c r="BE32">
        <v>3</v>
      </c>
      <c r="BF32" t="s">
        <v>95</v>
      </c>
      <c r="BG32" t="s">
        <v>95</v>
      </c>
      <c r="BH32">
        <v>4</v>
      </c>
      <c r="BI32" t="s">
        <v>95</v>
      </c>
      <c r="BJ32" t="s">
        <v>95</v>
      </c>
      <c r="BK32" t="s">
        <v>95</v>
      </c>
      <c r="BL32" t="s">
        <v>95</v>
      </c>
      <c r="BM32" t="s">
        <v>192</v>
      </c>
      <c r="BN32">
        <v>505.33</v>
      </c>
      <c r="BO32">
        <v>145.68</v>
      </c>
      <c r="CB32">
        <v>359.65</v>
      </c>
    </row>
    <row r="33" spans="1:80" x14ac:dyDescent="0.35">
      <c r="A33">
        <v>13</v>
      </c>
      <c r="B33" t="s">
        <v>135</v>
      </c>
      <c r="C33">
        <v>2</v>
      </c>
      <c r="D33" t="s">
        <v>85</v>
      </c>
      <c r="E33">
        <v>302091358</v>
      </c>
      <c r="F33" t="s">
        <v>136</v>
      </c>
      <c r="G33" t="s">
        <v>135</v>
      </c>
      <c r="H33" t="s">
        <v>87</v>
      </c>
      <c r="I33" t="s">
        <v>88</v>
      </c>
      <c r="J33" t="s">
        <v>87</v>
      </c>
      <c r="K33" t="s">
        <v>88</v>
      </c>
      <c r="L33" t="s">
        <v>87</v>
      </c>
      <c r="M33" t="s">
        <v>87</v>
      </c>
      <c r="O33" t="s">
        <v>87</v>
      </c>
      <c r="Q33" t="s">
        <v>107</v>
      </c>
      <c r="R33" t="s">
        <v>88</v>
      </c>
      <c r="S33" t="s">
        <v>88</v>
      </c>
      <c r="T33" t="s">
        <v>88</v>
      </c>
      <c r="U33" t="s">
        <v>88</v>
      </c>
      <c r="V33" t="s">
        <v>88</v>
      </c>
      <c r="W33" t="s">
        <v>87</v>
      </c>
      <c r="X33" t="s">
        <v>88</v>
      </c>
      <c r="Y33" t="s">
        <v>88</v>
      </c>
      <c r="AD33" t="s">
        <v>103</v>
      </c>
      <c r="AE33">
        <v>2</v>
      </c>
      <c r="AF33" t="s">
        <v>195</v>
      </c>
      <c r="AG33" t="s">
        <v>104</v>
      </c>
      <c r="AH33">
        <v>2</v>
      </c>
      <c r="AI33">
        <v>3</v>
      </c>
      <c r="AJ33">
        <v>2</v>
      </c>
      <c r="AK33">
        <v>4</v>
      </c>
      <c r="AL33">
        <v>4</v>
      </c>
      <c r="AM33">
        <v>4</v>
      </c>
      <c r="AN33">
        <v>2</v>
      </c>
      <c r="AO33">
        <v>2</v>
      </c>
      <c r="AP33">
        <v>4</v>
      </c>
      <c r="AQ33" t="s">
        <v>94</v>
      </c>
      <c r="AR33">
        <v>3</v>
      </c>
      <c r="AS33">
        <v>3</v>
      </c>
      <c r="AT33">
        <v>4</v>
      </c>
      <c r="AU33">
        <v>4</v>
      </c>
      <c r="AV33" t="s">
        <v>94</v>
      </c>
      <c r="AW33" t="s">
        <v>94</v>
      </c>
      <c r="AX33">
        <v>3</v>
      </c>
      <c r="AY33">
        <v>2</v>
      </c>
      <c r="AZ33">
        <v>4</v>
      </c>
      <c r="BA33">
        <v>3</v>
      </c>
      <c r="BB33">
        <v>4</v>
      </c>
      <c r="BC33">
        <v>4</v>
      </c>
      <c r="BD33">
        <v>4</v>
      </c>
      <c r="BE33">
        <v>4</v>
      </c>
      <c r="BF33">
        <v>4</v>
      </c>
      <c r="BG33">
        <v>4</v>
      </c>
      <c r="BH33">
        <v>4</v>
      </c>
      <c r="BI33">
        <v>4</v>
      </c>
      <c r="BJ33">
        <v>3</v>
      </c>
      <c r="BK33">
        <v>4</v>
      </c>
      <c r="BL33">
        <v>3</v>
      </c>
      <c r="BM33" t="s">
        <v>196</v>
      </c>
      <c r="BN33">
        <v>336.54</v>
      </c>
      <c r="BO33">
        <v>91.28</v>
      </c>
      <c r="CB33">
        <v>245.26</v>
      </c>
    </row>
    <row r="34" spans="1:80" x14ac:dyDescent="0.35">
      <c r="A34">
        <v>19</v>
      </c>
      <c r="B34" t="s">
        <v>152</v>
      </c>
      <c r="C34">
        <v>2</v>
      </c>
      <c r="D34" t="s">
        <v>85</v>
      </c>
      <c r="E34">
        <v>1424010097</v>
      </c>
      <c r="F34" t="s">
        <v>153</v>
      </c>
      <c r="G34" t="s">
        <v>152</v>
      </c>
      <c r="H34" t="s">
        <v>87</v>
      </c>
      <c r="I34" t="s">
        <v>88</v>
      </c>
      <c r="J34" t="s">
        <v>88</v>
      </c>
      <c r="K34" t="s">
        <v>88</v>
      </c>
      <c r="L34" t="s">
        <v>87</v>
      </c>
      <c r="M34" t="s">
        <v>87</v>
      </c>
      <c r="O34" t="s">
        <v>88</v>
      </c>
      <c r="P34" t="s">
        <v>154</v>
      </c>
      <c r="Q34" t="s">
        <v>107</v>
      </c>
      <c r="S34" t="s">
        <v>88</v>
      </c>
      <c r="T34" t="s">
        <v>88</v>
      </c>
      <c r="U34" t="s">
        <v>88</v>
      </c>
      <c r="V34" t="s">
        <v>88</v>
      </c>
      <c r="W34" t="s">
        <v>87</v>
      </c>
      <c r="X34" t="s">
        <v>87</v>
      </c>
      <c r="Y34" t="s">
        <v>88</v>
      </c>
      <c r="AG34" t="s">
        <v>104</v>
      </c>
      <c r="AH34">
        <v>2</v>
      </c>
      <c r="AI34">
        <v>3</v>
      </c>
      <c r="AJ34">
        <v>4</v>
      </c>
      <c r="AK34" t="s">
        <v>93</v>
      </c>
      <c r="AL34">
        <v>3</v>
      </c>
      <c r="AM34">
        <v>4</v>
      </c>
      <c r="AN34">
        <v>3</v>
      </c>
      <c r="AO34">
        <v>3</v>
      </c>
      <c r="AP34">
        <v>2</v>
      </c>
      <c r="AQ34">
        <v>4</v>
      </c>
      <c r="AR34">
        <v>2</v>
      </c>
      <c r="AS34" t="s">
        <v>94</v>
      </c>
      <c r="AT34">
        <v>3</v>
      </c>
      <c r="AU34" t="s">
        <v>94</v>
      </c>
      <c r="AV34">
        <v>3</v>
      </c>
      <c r="AW34" t="s">
        <v>94</v>
      </c>
      <c r="AX34">
        <v>4</v>
      </c>
      <c r="AY34">
        <v>4</v>
      </c>
      <c r="AZ34">
        <v>3</v>
      </c>
      <c r="BA34">
        <v>4</v>
      </c>
      <c r="BB34">
        <v>3</v>
      </c>
      <c r="BC34">
        <v>3</v>
      </c>
      <c r="BD34">
        <v>4</v>
      </c>
      <c r="BE34">
        <v>4</v>
      </c>
      <c r="BF34">
        <v>3</v>
      </c>
      <c r="BG34">
        <v>3</v>
      </c>
      <c r="BH34">
        <v>2</v>
      </c>
      <c r="BI34">
        <v>4</v>
      </c>
      <c r="BJ34">
        <v>3</v>
      </c>
      <c r="BK34">
        <v>4</v>
      </c>
      <c r="BL34">
        <v>4</v>
      </c>
      <c r="BN34">
        <v>144.71</v>
      </c>
      <c r="BO34">
        <v>62.5</v>
      </c>
      <c r="CB34">
        <v>82.21</v>
      </c>
    </row>
    <row r="35" spans="1:80" x14ac:dyDescent="0.35">
      <c r="A35">
        <v>24</v>
      </c>
      <c r="B35" t="s">
        <v>169</v>
      </c>
      <c r="C35">
        <v>2</v>
      </c>
      <c r="D35" t="s">
        <v>85</v>
      </c>
      <c r="E35">
        <v>519012056</v>
      </c>
      <c r="F35" t="s">
        <v>170</v>
      </c>
      <c r="G35" t="s">
        <v>169</v>
      </c>
      <c r="H35" t="s">
        <v>87</v>
      </c>
      <c r="I35" t="s">
        <v>88</v>
      </c>
      <c r="J35" t="s">
        <v>88</v>
      </c>
      <c r="K35" t="s">
        <v>88</v>
      </c>
      <c r="L35" t="s">
        <v>87</v>
      </c>
      <c r="M35" t="s">
        <v>87</v>
      </c>
      <c r="O35" t="s">
        <v>88</v>
      </c>
      <c r="P35" t="s">
        <v>171</v>
      </c>
      <c r="Q35" t="s">
        <v>90</v>
      </c>
      <c r="S35" t="s">
        <v>88</v>
      </c>
      <c r="T35" t="s">
        <v>87</v>
      </c>
      <c r="U35" t="s">
        <v>88</v>
      </c>
      <c r="V35" t="s">
        <v>88</v>
      </c>
      <c r="W35" t="s">
        <v>87</v>
      </c>
      <c r="X35" t="s">
        <v>88</v>
      </c>
      <c r="Y35" t="s">
        <v>88</v>
      </c>
      <c r="AD35" t="s">
        <v>103</v>
      </c>
      <c r="AE35" t="s">
        <v>103</v>
      </c>
      <c r="AF35" t="s">
        <v>202</v>
      </c>
      <c r="AG35" t="s">
        <v>104</v>
      </c>
      <c r="AH35">
        <v>3</v>
      </c>
      <c r="AI35">
        <v>3</v>
      </c>
      <c r="AJ35" t="s">
        <v>93</v>
      </c>
      <c r="AK35" t="s">
        <v>93</v>
      </c>
      <c r="AL35">
        <v>3</v>
      </c>
      <c r="AM35">
        <v>3</v>
      </c>
      <c r="AN35">
        <v>4</v>
      </c>
      <c r="AO35">
        <v>4</v>
      </c>
      <c r="AP35">
        <v>2</v>
      </c>
      <c r="AQ35">
        <v>2</v>
      </c>
      <c r="AR35">
        <v>2</v>
      </c>
      <c r="AS35">
        <v>3</v>
      </c>
      <c r="AT35">
        <v>3</v>
      </c>
      <c r="AU35">
        <v>3</v>
      </c>
      <c r="AV35">
        <v>4</v>
      </c>
      <c r="AW35">
        <v>4</v>
      </c>
      <c r="AX35" t="s">
        <v>94</v>
      </c>
      <c r="AY35">
        <v>4</v>
      </c>
      <c r="AZ35">
        <v>3</v>
      </c>
      <c r="BA35">
        <v>4</v>
      </c>
      <c r="BB35">
        <v>3</v>
      </c>
      <c r="BC35">
        <v>4</v>
      </c>
      <c r="BD35">
        <v>3</v>
      </c>
      <c r="BE35">
        <v>3</v>
      </c>
      <c r="BF35">
        <v>2</v>
      </c>
      <c r="BG35">
        <v>3</v>
      </c>
      <c r="BH35" t="s">
        <v>159</v>
      </c>
      <c r="BI35">
        <v>4</v>
      </c>
      <c r="BJ35">
        <v>3</v>
      </c>
      <c r="BK35">
        <v>3</v>
      </c>
      <c r="BL35">
        <v>3</v>
      </c>
      <c r="BN35">
        <v>569.49</v>
      </c>
      <c r="BO35">
        <v>328.77</v>
      </c>
      <c r="CB35">
        <v>240.72</v>
      </c>
    </row>
    <row r="36" spans="1:80" x14ac:dyDescent="0.35">
      <c r="A36">
        <v>23</v>
      </c>
      <c r="B36" t="s">
        <v>166</v>
      </c>
      <c r="C36">
        <v>2</v>
      </c>
      <c r="D36" t="s">
        <v>85</v>
      </c>
      <c r="E36">
        <v>784623509</v>
      </c>
      <c r="F36" t="s">
        <v>167</v>
      </c>
      <c r="G36" t="s">
        <v>166</v>
      </c>
      <c r="H36" t="s">
        <v>88</v>
      </c>
      <c r="I36" t="s">
        <v>88</v>
      </c>
      <c r="J36" t="s">
        <v>87</v>
      </c>
      <c r="K36" t="s">
        <v>88</v>
      </c>
      <c r="L36" t="s">
        <v>87</v>
      </c>
      <c r="M36" t="s">
        <v>88</v>
      </c>
      <c r="O36" t="s">
        <v>87</v>
      </c>
      <c r="Q36" t="s">
        <v>90</v>
      </c>
      <c r="R36" t="s">
        <v>102</v>
      </c>
      <c r="S36" t="s">
        <v>87</v>
      </c>
      <c r="T36" t="s">
        <v>88</v>
      </c>
      <c r="U36" t="s">
        <v>87</v>
      </c>
      <c r="V36" t="s">
        <v>87</v>
      </c>
      <c r="W36" t="s">
        <v>88</v>
      </c>
      <c r="X36" t="s">
        <v>87</v>
      </c>
      <c r="Y36" t="s">
        <v>88</v>
      </c>
      <c r="AD36">
        <v>4</v>
      </c>
      <c r="AE36" t="s">
        <v>120</v>
      </c>
      <c r="AG36" t="s">
        <v>104</v>
      </c>
      <c r="AH36">
        <v>2</v>
      </c>
      <c r="AI36">
        <v>3</v>
      </c>
      <c r="AJ36" t="s">
        <v>93</v>
      </c>
      <c r="AK36" t="s">
        <v>93</v>
      </c>
      <c r="AL36">
        <v>3</v>
      </c>
      <c r="AM36">
        <v>3</v>
      </c>
      <c r="AN36" t="s">
        <v>111</v>
      </c>
      <c r="AO36" t="s">
        <v>111</v>
      </c>
      <c r="AP36">
        <v>2</v>
      </c>
      <c r="AQ36" t="s">
        <v>111</v>
      </c>
      <c r="AR36" t="s">
        <v>111</v>
      </c>
      <c r="AS36" t="s">
        <v>111</v>
      </c>
      <c r="AT36">
        <v>4</v>
      </c>
      <c r="AU36">
        <v>4</v>
      </c>
      <c r="AV36">
        <v>2</v>
      </c>
      <c r="AW36">
        <v>4</v>
      </c>
      <c r="AX36">
        <v>3</v>
      </c>
      <c r="AY36">
        <v>3</v>
      </c>
      <c r="AZ36">
        <v>3</v>
      </c>
      <c r="BA36">
        <v>3</v>
      </c>
      <c r="BB36">
        <v>3</v>
      </c>
      <c r="BC36">
        <v>3</v>
      </c>
      <c r="BD36">
        <v>3</v>
      </c>
      <c r="BE36" t="s">
        <v>111</v>
      </c>
      <c r="BF36">
        <v>4</v>
      </c>
      <c r="BG36">
        <v>4</v>
      </c>
      <c r="BH36">
        <v>4</v>
      </c>
      <c r="BI36">
        <v>4</v>
      </c>
      <c r="BJ36">
        <v>4</v>
      </c>
      <c r="BK36">
        <v>4</v>
      </c>
      <c r="BL36">
        <v>4</v>
      </c>
      <c r="BN36">
        <v>207.59</v>
      </c>
      <c r="BO36">
        <v>118.94</v>
      </c>
      <c r="CB36">
        <v>88.65</v>
      </c>
    </row>
    <row r="37" spans="1:80" x14ac:dyDescent="0.35">
      <c r="A37">
        <v>35</v>
      </c>
      <c r="B37" t="s">
        <v>203</v>
      </c>
      <c r="C37">
        <v>2</v>
      </c>
      <c r="D37" t="s">
        <v>85</v>
      </c>
      <c r="E37">
        <v>1054162918</v>
      </c>
      <c r="F37" t="s">
        <v>204</v>
      </c>
      <c r="G37" t="s">
        <v>203</v>
      </c>
      <c r="H37" t="s">
        <v>87</v>
      </c>
      <c r="I37" t="s">
        <v>88</v>
      </c>
      <c r="J37" t="s">
        <v>87</v>
      </c>
      <c r="K37" t="s">
        <v>88</v>
      </c>
      <c r="L37" t="s">
        <v>88</v>
      </c>
      <c r="M37" t="s">
        <v>88</v>
      </c>
      <c r="O37" t="s">
        <v>87</v>
      </c>
      <c r="Q37" t="s">
        <v>90</v>
      </c>
      <c r="R37" t="s">
        <v>102</v>
      </c>
      <c r="S37" t="s">
        <v>87</v>
      </c>
      <c r="T37" t="s">
        <v>87</v>
      </c>
      <c r="U37" t="s">
        <v>87</v>
      </c>
      <c r="V37" t="s">
        <v>88</v>
      </c>
      <c r="W37" t="s">
        <v>87</v>
      </c>
      <c r="X37" t="s">
        <v>88</v>
      </c>
      <c r="Y37" t="s">
        <v>88</v>
      </c>
      <c r="AD37" t="s">
        <v>103</v>
      </c>
      <c r="AE37" t="s">
        <v>103</v>
      </c>
      <c r="AG37" t="s">
        <v>91</v>
      </c>
      <c r="AH37">
        <v>3</v>
      </c>
      <c r="AI37">
        <v>4</v>
      </c>
      <c r="AJ37">
        <v>4</v>
      </c>
      <c r="AK37" t="s">
        <v>93</v>
      </c>
      <c r="AL37" t="s">
        <v>94</v>
      </c>
      <c r="AM37">
        <v>4</v>
      </c>
      <c r="AN37">
        <v>3</v>
      </c>
      <c r="AO37">
        <v>3</v>
      </c>
      <c r="AP37">
        <v>2</v>
      </c>
      <c r="AQ37">
        <v>2</v>
      </c>
      <c r="AR37">
        <v>3</v>
      </c>
      <c r="AS37" t="s">
        <v>111</v>
      </c>
      <c r="AT37" t="s">
        <v>94</v>
      </c>
      <c r="AU37">
        <v>4</v>
      </c>
      <c r="AV37">
        <v>4</v>
      </c>
      <c r="AW37" t="s">
        <v>94</v>
      </c>
      <c r="AX37" t="s">
        <v>94</v>
      </c>
      <c r="AY37">
        <v>4</v>
      </c>
      <c r="AZ37" t="s">
        <v>94</v>
      </c>
      <c r="BA37">
        <v>3</v>
      </c>
      <c r="BB37" t="s">
        <v>94</v>
      </c>
      <c r="BC37">
        <v>3</v>
      </c>
      <c r="BD37">
        <v>3</v>
      </c>
      <c r="BE37">
        <v>2</v>
      </c>
      <c r="BF37">
        <v>2</v>
      </c>
      <c r="BG37">
        <v>4</v>
      </c>
      <c r="BH37">
        <v>4</v>
      </c>
      <c r="BI37">
        <v>4</v>
      </c>
      <c r="BJ37">
        <v>4</v>
      </c>
      <c r="BK37">
        <v>4</v>
      </c>
      <c r="BL37">
        <v>4</v>
      </c>
      <c r="BN37">
        <v>467.38</v>
      </c>
      <c r="BO37">
        <v>150.05000000000001</v>
      </c>
      <c r="CB37">
        <v>317.33</v>
      </c>
    </row>
    <row r="38" spans="1:80" x14ac:dyDescent="0.35">
      <c r="A38">
        <v>12</v>
      </c>
      <c r="B38" t="s">
        <v>133</v>
      </c>
      <c r="C38">
        <v>2</v>
      </c>
      <c r="D38" t="s">
        <v>85</v>
      </c>
      <c r="E38">
        <v>2095155287</v>
      </c>
      <c r="F38" t="s">
        <v>134</v>
      </c>
      <c r="G38" t="s">
        <v>133</v>
      </c>
      <c r="H38" t="s">
        <v>87</v>
      </c>
      <c r="I38" t="s">
        <v>88</v>
      </c>
      <c r="J38" t="s">
        <v>88</v>
      </c>
      <c r="K38" t="s">
        <v>88</v>
      </c>
      <c r="L38" t="s">
        <v>87</v>
      </c>
      <c r="M38" t="s">
        <v>87</v>
      </c>
      <c r="O38" t="s">
        <v>87</v>
      </c>
      <c r="Q38" t="s">
        <v>90</v>
      </c>
      <c r="R38" t="s">
        <v>102</v>
      </c>
      <c r="S38" t="s">
        <v>87</v>
      </c>
      <c r="T38" t="s">
        <v>87</v>
      </c>
      <c r="U38" t="s">
        <v>87</v>
      </c>
      <c r="V38" t="s">
        <v>88</v>
      </c>
      <c r="W38" t="s">
        <v>87</v>
      </c>
      <c r="X38" t="s">
        <v>88</v>
      </c>
      <c r="Y38" t="s">
        <v>88</v>
      </c>
      <c r="AG38" t="s">
        <v>104</v>
      </c>
      <c r="AH38">
        <v>2</v>
      </c>
      <c r="AI38">
        <v>3</v>
      </c>
      <c r="AJ38">
        <v>4</v>
      </c>
      <c r="AK38">
        <v>3</v>
      </c>
      <c r="AL38">
        <v>4</v>
      </c>
      <c r="AM38">
        <v>3</v>
      </c>
      <c r="AN38">
        <v>3</v>
      </c>
      <c r="AO38">
        <v>2</v>
      </c>
      <c r="AP38">
        <v>3</v>
      </c>
      <c r="AQ38">
        <v>2</v>
      </c>
      <c r="AR38">
        <v>3</v>
      </c>
      <c r="AS38">
        <v>4</v>
      </c>
      <c r="AT38">
        <v>3</v>
      </c>
      <c r="AU38">
        <v>3</v>
      </c>
      <c r="AV38">
        <v>4</v>
      </c>
      <c r="AW38">
        <v>4</v>
      </c>
      <c r="AX38">
        <v>4</v>
      </c>
      <c r="AY38">
        <v>3</v>
      </c>
      <c r="AZ38">
        <v>3</v>
      </c>
      <c r="BA38">
        <v>3</v>
      </c>
      <c r="BB38">
        <v>3</v>
      </c>
      <c r="BC38">
        <v>2</v>
      </c>
      <c r="BD38">
        <v>3</v>
      </c>
      <c r="BE38">
        <v>4</v>
      </c>
      <c r="BF38">
        <v>4</v>
      </c>
      <c r="BG38">
        <v>3</v>
      </c>
      <c r="BH38">
        <v>3</v>
      </c>
      <c r="BI38">
        <v>3</v>
      </c>
      <c r="BJ38">
        <v>4</v>
      </c>
      <c r="BK38">
        <v>4</v>
      </c>
      <c r="BL38">
        <v>4</v>
      </c>
      <c r="BN38">
        <v>321.44</v>
      </c>
      <c r="BO38">
        <v>122</v>
      </c>
      <c r="CB38">
        <v>199.44</v>
      </c>
    </row>
    <row r="39" spans="1:80" x14ac:dyDescent="0.35">
      <c r="A39">
        <v>38</v>
      </c>
      <c r="B39" t="s">
        <v>210</v>
      </c>
      <c r="C39">
        <v>2</v>
      </c>
      <c r="D39" t="s">
        <v>85</v>
      </c>
      <c r="E39">
        <v>326442699</v>
      </c>
      <c r="F39" t="s">
        <v>211</v>
      </c>
      <c r="G39" t="s">
        <v>210</v>
      </c>
      <c r="H39" t="s">
        <v>87</v>
      </c>
      <c r="I39" t="s">
        <v>88</v>
      </c>
      <c r="J39" t="s">
        <v>87</v>
      </c>
      <c r="K39" t="s">
        <v>88</v>
      </c>
      <c r="L39" t="s">
        <v>87</v>
      </c>
      <c r="M39" t="s">
        <v>88</v>
      </c>
      <c r="O39" t="s">
        <v>87</v>
      </c>
      <c r="Q39" t="s">
        <v>90</v>
      </c>
      <c r="R39" t="s">
        <v>102</v>
      </c>
      <c r="S39" t="s">
        <v>87</v>
      </c>
      <c r="T39" t="s">
        <v>87</v>
      </c>
      <c r="U39" t="s">
        <v>87</v>
      </c>
      <c r="V39" t="s">
        <v>88</v>
      </c>
      <c r="W39" t="s">
        <v>87</v>
      </c>
      <c r="X39" t="s">
        <v>88</v>
      </c>
      <c r="Y39" t="s">
        <v>87</v>
      </c>
      <c r="AD39">
        <v>4</v>
      </c>
      <c r="AE39">
        <v>4</v>
      </c>
      <c r="AG39" t="s">
        <v>104</v>
      </c>
      <c r="AH39">
        <v>3</v>
      </c>
      <c r="AI39">
        <v>3</v>
      </c>
      <c r="AJ39">
        <v>3</v>
      </c>
      <c r="AK39">
        <v>4</v>
      </c>
      <c r="AL39">
        <v>4</v>
      </c>
      <c r="AM39" t="s">
        <v>94</v>
      </c>
      <c r="AN39">
        <v>4</v>
      </c>
      <c r="AO39">
        <v>3</v>
      </c>
      <c r="AP39">
        <v>4</v>
      </c>
      <c r="AQ39">
        <v>4</v>
      </c>
      <c r="AR39">
        <v>4</v>
      </c>
      <c r="AS39">
        <v>3</v>
      </c>
      <c r="AT39">
        <v>4</v>
      </c>
      <c r="AU39" t="s">
        <v>94</v>
      </c>
      <c r="AV39">
        <v>4</v>
      </c>
      <c r="AW39" t="s">
        <v>94</v>
      </c>
      <c r="AX39">
        <v>4</v>
      </c>
      <c r="AY39">
        <v>4</v>
      </c>
      <c r="AZ39">
        <v>4</v>
      </c>
      <c r="BA39">
        <v>3</v>
      </c>
      <c r="BB39">
        <v>4</v>
      </c>
      <c r="BC39">
        <v>3</v>
      </c>
      <c r="BD39">
        <v>4</v>
      </c>
      <c r="BE39">
        <v>3</v>
      </c>
      <c r="BF39">
        <v>3</v>
      </c>
      <c r="BG39">
        <v>2</v>
      </c>
      <c r="BH39">
        <v>4</v>
      </c>
      <c r="BI39">
        <v>4</v>
      </c>
      <c r="BJ39">
        <v>3</v>
      </c>
      <c r="BK39">
        <v>3</v>
      </c>
      <c r="BL39">
        <v>3</v>
      </c>
      <c r="BN39">
        <v>410.72</v>
      </c>
      <c r="BO39">
        <v>136.86000000000001</v>
      </c>
      <c r="CB39">
        <v>273.86</v>
      </c>
    </row>
    <row r="40" spans="1:80" x14ac:dyDescent="0.35">
      <c r="A40">
        <v>44</v>
      </c>
      <c r="B40" t="s">
        <v>230</v>
      </c>
      <c r="C40">
        <v>2</v>
      </c>
      <c r="D40" t="s">
        <v>85</v>
      </c>
      <c r="E40">
        <v>1165576484</v>
      </c>
      <c r="F40" t="s">
        <v>231</v>
      </c>
      <c r="G40" t="s">
        <v>230</v>
      </c>
      <c r="H40" t="s">
        <v>87</v>
      </c>
      <c r="I40" t="s">
        <v>88</v>
      </c>
      <c r="J40" t="s">
        <v>88</v>
      </c>
      <c r="K40" t="s">
        <v>88</v>
      </c>
      <c r="L40" t="s">
        <v>88</v>
      </c>
      <c r="M40" t="s">
        <v>87</v>
      </c>
      <c r="O40" t="s">
        <v>88</v>
      </c>
      <c r="P40" t="s">
        <v>232</v>
      </c>
      <c r="Q40" t="s">
        <v>90</v>
      </c>
      <c r="S40" t="s">
        <v>88</v>
      </c>
      <c r="T40" t="s">
        <v>88</v>
      </c>
      <c r="U40" t="s">
        <v>88</v>
      </c>
      <c r="V40" t="s">
        <v>88</v>
      </c>
      <c r="W40" t="s">
        <v>87</v>
      </c>
      <c r="X40" t="s">
        <v>88</v>
      </c>
      <c r="Y40" t="s">
        <v>88</v>
      </c>
      <c r="AD40">
        <v>3</v>
      </c>
      <c r="AE40">
        <v>4</v>
      </c>
      <c r="AF40" t="s">
        <v>214</v>
      </c>
      <c r="AG40" t="s">
        <v>104</v>
      </c>
      <c r="AH40">
        <v>2</v>
      </c>
      <c r="AI40">
        <v>3</v>
      </c>
      <c r="AJ40">
        <v>4</v>
      </c>
      <c r="AK40" t="s">
        <v>93</v>
      </c>
      <c r="AL40">
        <v>4</v>
      </c>
      <c r="AM40">
        <v>4</v>
      </c>
      <c r="AN40">
        <v>3</v>
      </c>
      <c r="AO40">
        <v>3</v>
      </c>
      <c r="AP40">
        <v>3</v>
      </c>
      <c r="AQ40">
        <v>3</v>
      </c>
      <c r="AR40" t="s">
        <v>94</v>
      </c>
      <c r="AS40">
        <v>2</v>
      </c>
      <c r="AT40" t="s">
        <v>94</v>
      </c>
      <c r="AU40" t="s">
        <v>94</v>
      </c>
      <c r="AV40">
        <v>4</v>
      </c>
      <c r="AW40">
        <v>4</v>
      </c>
      <c r="AX40" t="s">
        <v>94</v>
      </c>
      <c r="AY40">
        <v>4</v>
      </c>
      <c r="AZ40" t="s">
        <v>94</v>
      </c>
      <c r="BA40" t="s">
        <v>94</v>
      </c>
      <c r="BB40">
        <v>4</v>
      </c>
      <c r="BC40">
        <v>4</v>
      </c>
      <c r="BD40">
        <v>4</v>
      </c>
      <c r="BE40">
        <v>2</v>
      </c>
      <c r="BF40" t="s">
        <v>95</v>
      </c>
      <c r="BG40" t="s">
        <v>95</v>
      </c>
      <c r="BH40" t="s">
        <v>95</v>
      </c>
      <c r="BI40" t="s">
        <v>95</v>
      </c>
      <c r="BJ40" t="s">
        <v>95</v>
      </c>
      <c r="BK40" t="s">
        <v>95</v>
      </c>
      <c r="BL40" t="s">
        <v>95</v>
      </c>
      <c r="BN40">
        <v>198.02</v>
      </c>
      <c r="BO40">
        <v>85.26</v>
      </c>
      <c r="CB40">
        <v>112.76</v>
      </c>
    </row>
    <row r="41" spans="1:80" x14ac:dyDescent="0.35">
      <c r="A41">
        <v>6</v>
      </c>
      <c r="B41" t="s">
        <v>118</v>
      </c>
      <c r="C41">
        <v>2</v>
      </c>
      <c r="D41" t="s">
        <v>85</v>
      </c>
      <c r="E41">
        <v>1939932944</v>
      </c>
      <c r="F41" t="s">
        <v>119</v>
      </c>
      <c r="G41" t="s">
        <v>118</v>
      </c>
      <c r="H41" t="s">
        <v>87</v>
      </c>
      <c r="I41" t="s">
        <v>88</v>
      </c>
      <c r="J41" t="s">
        <v>88</v>
      </c>
      <c r="K41" t="s">
        <v>88</v>
      </c>
      <c r="L41" t="s">
        <v>88</v>
      </c>
      <c r="M41" t="s">
        <v>88</v>
      </c>
      <c r="O41" t="s">
        <v>87</v>
      </c>
      <c r="Q41" t="s">
        <v>115</v>
      </c>
      <c r="R41" t="s">
        <v>88</v>
      </c>
      <c r="S41" t="s">
        <v>87</v>
      </c>
      <c r="T41" t="s">
        <v>87</v>
      </c>
      <c r="U41" t="s">
        <v>87</v>
      </c>
      <c r="V41" t="s">
        <v>88</v>
      </c>
      <c r="W41" t="s">
        <v>87</v>
      </c>
      <c r="X41" t="s">
        <v>87</v>
      </c>
      <c r="Y41" t="s">
        <v>88</v>
      </c>
      <c r="AF41" t="s">
        <v>219</v>
      </c>
      <c r="AG41" t="s">
        <v>104</v>
      </c>
      <c r="AH41">
        <v>3</v>
      </c>
      <c r="AI41">
        <v>4</v>
      </c>
      <c r="AJ41">
        <v>4</v>
      </c>
      <c r="AK41" t="s">
        <v>93</v>
      </c>
      <c r="AL41">
        <v>4</v>
      </c>
      <c r="AM41">
        <v>3</v>
      </c>
      <c r="AN41">
        <v>3</v>
      </c>
      <c r="AO41">
        <v>3</v>
      </c>
      <c r="AP41">
        <v>3</v>
      </c>
      <c r="AQ41" t="s">
        <v>111</v>
      </c>
      <c r="AR41">
        <v>2</v>
      </c>
      <c r="AS41" t="s">
        <v>111</v>
      </c>
      <c r="AT41">
        <v>4</v>
      </c>
      <c r="AU41">
        <v>3</v>
      </c>
      <c r="AV41">
        <v>4</v>
      </c>
      <c r="AW41">
        <v>4</v>
      </c>
      <c r="AX41">
        <v>2</v>
      </c>
      <c r="AY41" t="s">
        <v>111</v>
      </c>
      <c r="AZ41">
        <v>4</v>
      </c>
      <c r="BA41">
        <v>4</v>
      </c>
      <c r="BB41">
        <v>3</v>
      </c>
      <c r="BC41">
        <v>3</v>
      </c>
      <c r="BD41">
        <v>4</v>
      </c>
      <c r="BE41">
        <v>4</v>
      </c>
      <c r="BF41">
        <v>4</v>
      </c>
      <c r="BG41">
        <v>4</v>
      </c>
      <c r="BH41">
        <v>4</v>
      </c>
      <c r="BI41">
        <v>4</v>
      </c>
      <c r="BJ41">
        <v>4</v>
      </c>
      <c r="BK41">
        <v>4</v>
      </c>
      <c r="BL41">
        <v>4</v>
      </c>
      <c r="BM41" t="s">
        <v>220</v>
      </c>
      <c r="BN41">
        <v>1117.52</v>
      </c>
      <c r="BO41">
        <v>165.01</v>
      </c>
      <c r="CB41">
        <v>952.51</v>
      </c>
    </row>
    <row r="42" spans="1:80" x14ac:dyDescent="0.35">
      <c r="A42">
        <v>40</v>
      </c>
      <c r="B42" t="s">
        <v>215</v>
      </c>
      <c r="C42">
        <v>2</v>
      </c>
      <c r="D42" t="s">
        <v>85</v>
      </c>
      <c r="E42">
        <v>1954968273</v>
      </c>
      <c r="F42" t="s">
        <v>216</v>
      </c>
      <c r="G42" t="s">
        <v>215</v>
      </c>
      <c r="H42" t="s">
        <v>87</v>
      </c>
      <c r="I42" t="s">
        <v>88</v>
      </c>
      <c r="J42" t="s">
        <v>88</v>
      </c>
      <c r="K42" t="s">
        <v>88</v>
      </c>
      <c r="L42" t="s">
        <v>88</v>
      </c>
      <c r="M42" t="s">
        <v>88</v>
      </c>
      <c r="O42" t="s">
        <v>88</v>
      </c>
      <c r="P42" t="s">
        <v>217</v>
      </c>
      <c r="Q42" t="s">
        <v>115</v>
      </c>
      <c r="S42" t="s">
        <v>87</v>
      </c>
      <c r="T42" t="s">
        <v>87</v>
      </c>
      <c r="U42" t="s">
        <v>88</v>
      </c>
      <c r="V42" t="s">
        <v>87</v>
      </c>
      <c r="W42" t="s">
        <v>87</v>
      </c>
      <c r="X42" t="s">
        <v>88</v>
      </c>
      <c r="Y42" t="s">
        <v>88</v>
      </c>
      <c r="Z42" t="s">
        <v>218</v>
      </c>
      <c r="AG42" t="s">
        <v>104</v>
      </c>
      <c r="AH42">
        <v>3</v>
      </c>
      <c r="AI42">
        <v>3</v>
      </c>
      <c r="AJ42">
        <v>4</v>
      </c>
      <c r="AK42" t="s">
        <v>93</v>
      </c>
      <c r="AL42">
        <v>3</v>
      </c>
      <c r="AM42">
        <v>2</v>
      </c>
      <c r="AN42">
        <v>2</v>
      </c>
      <c r="AO42">
        <v>2</v>
      </c>
      <c r="AP42">
        <v>4</v>
      </c>
      <c r="AQ42" t="s">
        <v>94</v>
      </c>
      <c r="AR42">
        <v>3</v>
      </c>
      <c r="AS42">
        <v>3</v>
      </c>
      <c r="AT42">
        <v>4</v>
      </c>
      <c r="AU42">
        <v>4</v>
      </c>
      <c r="AV42">
        <v>2</v>
      </c>
      <c r="AW42">
        <v>4</v>
      </c>
      <c r="AX42">
        <v>4</v>
      </c>
      <c r="AY42">
        <v>4</v>
      </c>
      <c r="AZ42">
        <v>3</v>
      </c>
      <c r="BA42">
        <v>4</v>
      </c>
      <c r="BB42">
        <v>4</v>
      </c>
      <c r="BC42">
        <v>4</v>
      </c>
      <c r="BD42">
        <v>2</v>
      </c>
      <c r="BE42" t="s">
        <v>111</v>
      </c>
      <c r="BF42">
        <v>3</v>
      </c>
      <c r="BG42">
        <v>4</v>
      </c>
      <c r="BH42">
        <v>2</v>
      </c>
      <c r="BI42">
        <v>2</v>
      </c>
      <c r="BJ42">
        <v>2</v>
      </c>
      <c r="BK42">
        <v>4</v>
      </c>
      <c r="BL42">
        <v>2</v>
      </c>
      <c r="BN42">
        <v>315.83</v>
      </c>
      <c r="BO42">
        <v>192.64</v>
      </c>
      <c r="CB42">
        <v>123.19</v>
      </c>
    </row>
    <row r="43" spans="1:80" x14ac:dyDescent="0.35">
      <c r="A43">
        <v>5</v>
      </c>
      <c r="B43" t="s">
        <v>112</v>
      </c>
      <c r="C43">
        <v>2</v>
      </c>
      <c r="D43" t="s">
        <v>85</v>
      </c>
      <c r="E43">
        <v>595273221</v>
      </c>
      <c r="F43" t="s">
        <v>113</v>
      </c>
      <c r="G43" t="s">
        <v>112</v>
      </c>
      <c r="H43" t="s">
        <v>88</v>
      </c>
      <c r="I43" t="s">
        <v>88</v>
      </c>
      <c r="J43" t="s">
        <v>88</v>
      </c>
      <c r="K43" t="s">
        <v>88</v>
      </c>
      <c r="L43" t="s">
        <v>87</v>
      </c>
      <c r="M43" t="s">
        <v>88</v>
      </c>
      <c r="O43" t="s">
        <v>88</v>
      </c>
      <c r="P43" t="s">
        <v>114</v>
      </c>
      <c r="Q43" t="s">
        <v>115</v>
      </c>
      <c r="S43" t="s">
        <v>88</v>
      </c>
      <c r="T43" t="s">
        <v>87</v>
      </c>
      <c r="U43" t="s">
        <v>88</v>
      </c>
      <c r="V43" t="s">
        <v>88</v>
      </c>
      <c r="W43" t="s">
        <v>87</v>
      </c>
      <c r="X43" t="s">
        <v>88</v>
      </c>
      <c r="Y43" t="s">
        <v>88</v>
      </c>
      <c r="AD43" t="s">
        <v>109</v>
      </c>
      <c r="AE43" t="s">
        <v>103</v>
      </c>
      <c r="AG43" t="s">
        <v>91</v>
      </c>
      <c r="AH43">
        <v>3</v>
      </c>
      <c r="AI43">
        <v>4</v>
      </c>
      <c r="AJ43">
        <v>4</v>
      </c>
      <c r="AK43" t="s">
        <v>93</v>
      </c>
      <c r="AL43">
        <v>4</v>
      </c>
      <c r="AM43">
        <v>4</v>
      </c>
      <c r="AN43">
        <v>4</v>
      </c>
      <c r="AO43">
        <v>4</v>
      </c>
      <c r="AP43">
        <v>4</v>
      </c>
      <c r="AQ43">
        <v>4</v>
      </c>
      <c r="AR43" t="s">
        <v>111</v>
      </c>
      <c r="AS43" t="s">
        <v>111</v>
      </c>
      <c r="AT43" t="s">
        <v>94</v>
      </c>
      <c r="AU43" t="s">
        <v>94</v>
      </c>
      <c r="AV43" t="s">
        <v>94</v>
      </c>
      <c r="AW43" t="s">
        <v>94</v>
      </c>
      <c r="AX43" t="s">
        <v>94</v>
      </c>
      <c r="AY43" t="s">
        <v>94</v>
      </c>
      <c r="AZ43">
        <v>2</v>
      </c>
      <c r="BA43">
        <v>3</v>
      </c>
      <c r="BB43">
        <v>2</v>
      </c>
      <c r="BC43">
        <v>4</v>
      </c>
      <c r="BD43">
        <v>3</v>
      </c>
      <c r="BE43">
        <v>3</v>
      </c>
      <c r="BF43">
        <v>3</v>
      </c>
      <c r="BG43">
        <v>4</v>
      </c>
      <c r="BH43" t="s">
        <v>95</v>
      </c>
      <c r="BI43" t="s">
        <v>95</v>
      </c>
      <c r="BJ43" t="s">
        <v>95</v>
      </c>
      <c r="BK43" t="s">
        <v>95</v>
      </c>
      <c r="BL43" t="s">
        <v>95</v>
      </c>
      <c r="BN43">
        <v>160.25</v>
      </c>
      <c r="BO43">
        <v>57.87</v>
      </c>
      <c r="CB43">
        <v>102.38</v>
      </c>
    </row>
    <row r="44" spans="1:80" x14ac:dyDescent="0.35">
      <c r="A44">
        <v>47</v>
      </c>
      <c r="B44" t="s">
        <v>237</v>
      </c>
      <c r="C44">
        <v>2</v>
      </c>
      <c r="D44" t="s">
        <v>85</v>
      </c>
      <c r="E44">
        <v>1731238641</v>
      </c>
      <c r="F44" t="s">
        <v>238</v>
      </c>
      <c r="G44" t="s">
        <v>237</v>
      </c>
      <c r="H44" t="s">
        <v>87</v>
      </c>
      <c r="I44" t="s">
        <v>88</v>
      </c>
      <c r="J44" t="s">
        <v>87</v>
      </c>
      <c r="K44" t="s">
        <v>88</v>
      </c>
      <c r="L44" t="s">
        <v>87</v>
      </c>
      <c r="M44" t="s">
        <v>87</v>
      </c>
      <c r="O44" t="s">
        <v>87</v>
      </c>
      <c r="Q44" t="s">
        <v>90</v>
      </c>
      <c r="R44" t="s">
        <v>102</v>
      </c>
      <c r="S44" t="s">
        <v>88</v>
      </c>
      <c r="T44" t="s">
        <v>87</v>
      </c>
      <c r="U44" t="s">
        <v>88</v>
      </c>
      <c r="V44" t="s">
        <v>87</v>
      </c>
      <c r="W44" t="s">
        <v>87</v>
      </c>
      <c r="X44" t="s">
        <v>88</v>
      </c>
      <c r="Y44" t="s">
        <v>88</v>
      </c>
      <c r="AG44" t="s">
        <v>91</v>
      </c>
      <c r="AH44">
        <v>3</v>
      </c>
      <c r="AI44">
        <v>3</v>
      </c>
      <c r="AJ44">
        <v>4</v>
      </c>
      <c r="AK44">
        <v>4</v>
      </c>
      <c r="AL44">
        <v>3</v>
      </c>
      <c r="AM44">
        <v>2</v>
      </c>
      <c r="AN44">
        <v>3</v>
      </c>
      <c r="AO44">
        <v>2</v>
      </c>
      <c r="AP44">
        <v>2</v>
      </c>
      <c r="AQ44">
        <v>2</v>
      </c>
      <c r="AR44">
        <v>2</v>
      </c>
      <c r="AS44">
        <v>2</v>
      </c>
      <c r="AT44">
        <v>3</v>
      </c>
      <c r="AU44">
        <v>3</v>
      </c>
      <c r="AV44">
        <v>3</v>
      </c>
      <c r="AW44">
        <v>3</v>
      </c>
      <c r="AX44">
        <v>3</v>
      </c>
      <c r="AY44">
        <v>3</v>
      </c>
      <c r="AZ44">
        <v>3</v>
      </c>
      <c r="BA44">
        <v>3</v>
      </c>
      <c r="BB44">
        <v>3</v>
      </c>
      <c r="BC44">
        <v>3</v>
      </c>
      <c r="BD44">
        <v>3</v>
      </c>
      <c r="BE44">
        <v>3</v>
      </c>
      <c r="BF44">
        <v>3</v>
      </c>
      <c r="BG44">
        <v>4</v>
      </c>
      <c r="BH44">
        <v>4</v>
      </c>
      <c r="BI44">
        <v>4</v>
      </c>
      <c r="BJ44">
        <v>3</v>
      </c>
      <c r="BK44">
        <v>3</v>
      </c>
      <c r="BL44">
        <v>4</v>
      </c>
      <c r="BM44" t="s">
        <v>229</v>
      </c>
      <c r="BN44">
        <v>224.18</v>
      </c>
      <c r="BO44">
        <v>105.56</v>
      </c>
      <c r="CB44">
        <v>118.62</v>
      </c>
    </row>
    <row r="45" spans="1:80" x14ac:dyDescent="0.35">
      <c r="A45">
        <v>51</v>
      </c>
      <c r="B45" t="s">
        <v>251</v>
      </c>
      <c r="C45">
        <v>2</v>
      </c>
      <c r="D45" t="s">
        <v>85</v>
      </c>
      <c r="E45">
        <v>299590549</v>
      </c>
      <c r="F45" t="s">
        <v>252</v>
      </c>
      <c r="G45" t="s">
        <v>251</v>
      </c>
      <c r="H45" t="s">
        <v>88</v>
      </c>
      <c r="I45" t="s">
        <v>88</v>
      </c>
      <c r="J45" t="s">
        <v>88</v>
      </c>
      <c r="K45" t="s">
        <v>88</v>
      </c>
      <c r="L45" t="s">
        <v>87</v>
      </c>
      <c r="M45" t="s">
        <v>87</v>
      </c>
      <c r="N45" t="s">
        <v>253</v>
      </c>
      <c r="O45" t="s">
        <v>87</v>
      </c>
      <c r="Q45" t="s">
        <v>99</v>
      </c>
      <c r="R45" t="s">
        <v>102</v>
      </c>
      <c r="S45" t="s">
        <v>87</v>
      </c>
      <c r="T45" t="s">
        <v>87</v>
      </c>
      <c r="U45" t="s">
        <v>88</v>
      </c>
      <c r="V45" t="s">
        <v>88</v>
      </c>
      <c r="W45" t="s">
        <v>87</v>
      </c>
      <c r="X45" t="s">
        <v>88</v>
      </c>
      <c r="Y45" t="s">
        <v>87</v>
      </c>
      <c r="AG45" t="s">
        <v>104</v>
      </c>
      <c r="AH45">
        <v>3</v>
      </c>
      <c r="AI45" t="s">
        <v>93</v>
      </c>
      <c r="AJ45">
        <v>3</v>
      </c>
      <c r="AK45" t="s">
        <v>93</v>
      </c>
      <c r="AL45">
        <v>4</v>
      </c>
      <c r="AM45">
        <v>4</v>
      </c>
      <c r="AN45" t="s">
        <v>94</v>
      </c>
      <c r="AO45" t="s">
        <v>94</v>
      </c>
      <c r="AP45" t="s">
        <v>94</v>
      </c>
      <c r="AQ45" t="s">
        <v>94</v>
      </c>
      <c r="AR45">
        <v>4</v>
      </c>
      <c r="AS45">
        <v>4</v>
      </c>
      <c r="AT45">
        <v>4</v>
      </c>
      <c r="AU45">
        <v>4</v>
      </c>
      <c r="AV45">
        <v>4</v>
      </c>
      <c r="AW45">
        <v>4</v>
      </c>
      <c r="AX45" t="s">
        <v>94</v>
      </c>
      <c r="AY45" t="s">
        <v>94</v>
      </c>
      <c r="AZ45" t="s">
        <v>94</v>
      </c>
      <c r="BA45" t="s">
        <v>94</v>
      </c>
      <c r="BB45" t="s">
        <v>94</v>
      </c>
      <c r="BC45" t="s">
        <v>94</v>
      </c>
      <c r="BD45">
        <v>3</v>
      </c>
      <c r="BE45">
        <v>3</v>
      </c>
      <c r="BF45" t="s">
        <v>95</v>
      </c>
      <c r="BG45" t="s">
        <v>95</v>
      </c>
      <c r="BH45" t="s">
        <v>95</v>
      </c>
      <c r="BI45" t="s">
        <v>95</v>
      </c>
      <c r="BJ45" t="s">
        <v>95</v>
      </c>
      <c r="BK45" t="s">
        <v>95</v>
      </c>
      <c r="BL45" t="s">
        <v>95</v>
      </c>
      <c r="BN45">
        <v>223.69</v>
      </c>
      <c r="BO45">
        <v>97.39</v>
      </c>
      <c r="CB45">
        <v>126.3</v>
      </c>
    </row>
    <row r="46" spans="1:80" x14ac:dyDescent="0.35">
      <c r="A46">
        <v>28</v>
      </c>
      <c r="B46" t="s">
        <v>180</v>
      </c>
      <c r="C46">
        <v>2</v>
      </c>
      <c r="D46" t="s">
        <v>85</v>
      </c>
      <c r="E46">
        <v>2077470076</v>
      </c>
      <c r="F46" t="s">
        <v>181</v>
      </c>
      <c r="G46" t="s">
        <v>180</v>
      </c>
      <c r="H46" t="s">
        <v>87</v>
      </c>
      <c r="I46" t="s">
        <v>88</v>
      </c>
      <c r="J46" t="s">
        <v>87</v>
      </c>
      <c r="K46" t="s">
        <v>88</v>
      </c>
      <c r="L46" t="s">
        <v>88</v>
      </c>
      <c r="M46" t="s">
        <v>88</v>
      </c>
      <c r="O46" t="s">
        <v>87</v>
      </c>
      <c r="Q46" t="s">
        <v>115</v>
      </c>
      <c r="R46" t="s">
        <v>102</v>
      </c>
      <c r="S46" t="s">
        <v>88</v>
      </c>
      <c r="T46" t="s">
        <v>87</v>
      </c>
      <c r="U46" t="s">
        <v>88</v>
      </c>
      <c r="V46" t="s">
        <v>88</v>
      </c>
      <c r="W46" t="s">
        <v>87</v>
      </c>
      <c r="X46" t="s">
        <v>88</v>
      </c>
      <c r="Y46" t="s">
        <v>88</v>
      </c>
      <c r="AD46">
        <v>3</v>
      </c>
      <c r="AE46">
        <v>3</v>
      </c>
      <c r="AG46" t="s">
        <v>91</v>
      </c>
      <c r="AH46">
        <v>2</v>
      </c>
      <c r="AI46">
        <v>2</v>
      </c>
      <c r="AJ46">
        <v>4</v>
      </c>
      <c r="AK46" t="s">
        <v>93</v>
      </c>
      <c r="AL46">
        <v>3</v>
      </c>
      <c r="AM46">
        <v>3</v>
      </c>
      <c r="AN46" t="s">
        <v>111</v>
      </c>
      <c r="AO46" t="s">
        <v>111</v>
      </c>
      <c r="AP46">
        <v>3</v>
      </c>
      <c r="AQ46">
        <v>4</v>
      </c>
      <c r="AR46">
        <v>2</v>
      </c>
      <c r="AS46" t="s">
        <v>111</v>
      </c>
      <c r="AT46">
        <v>2</v>
      </c>
      <c r="AU46">
        <v>3</v>
      </c>
      <c r="AV46">
        <v>4</v>
      </c>
      <c r="AW46">
        <v>4</v>
      </c>
      <c r="AX46">
        <v>2</v>
      </c>
      <c r="AY46">
        <v>4</v>
      </c>
      <c r="AZ46">
        <v>2</v>
      </c>
      <c r="BA46">
        <v>3</v>
      </c>
      <c r="BB46">
        <v>3</v>
      </c>
      <c r="BC46">
        <v>3</v>
      </c>
      <c r="BD46" t="s">
        <v>111</v>
      </c>
      <c r="BE46" t="s">
        <v>111</v>
      </c>
      <c r="BF46">
        <v>4</v>
      </c>
      <c r="BG46">
        <v>2</v>
      </c>
      <c r="BH46">
        <v>4</v>
      </c>
      <c r="BI46" t="s">
        <v>95</v>
      </c>
      <c r="BJ46" t="s">
        <v>159</v>
      </c>
      <c r="BK46">
        <v>4</v>
      </c>
      <c r="BL46">
        <v>2</v>
      </c>
      <c r="BN46">
        <v>343.79</v>
      </c>
      <c r="BO46">
        <v>98.22</v>
      </c>
      <c r="CB46">
        <v>245.57</v>
      </c>
    </row>
    <row r="47" spans="1:80" x14ac:dyDescent="0.35">
      <c r="A47">
        <v>31</v>
      </c>
      <c r="B47" t="s">
        <v>190</v>
      </c>
      <c r="C47">
        <v>2</v>
      </c>
      <c r="D47" t="s">
        <v>85</v>
      </c>
      <c r="E47">
        <v>156498554</v>
      </c>
      <c r="F47" t="s">
        <v>191</v>
      </c>
      <c r="G47" t="s">
        <v>190</v>
      </c>
      <c r="H47" t="s">
        <v>87</v>
      </c>
      <c r="I47" t="s">
        <v>87</v>
      </c>
      <c r="J47" t="s">
        <v>88</v>
      </c>
      <c r="K47" t="s">
        <v>88</v>
      </c>
      <c r="L47" t="s">
        <v>88</v>
      </c>
      <c r="M47" t="s">
        <v>88</v>
      </c>
      <c r="O47" t="s">
        <v>87</v>
      </c>
      <c r="Q47" t="s">
        <v>90</v>
      </c>
      <c r="R47" t="s">
        <v>88</v>
      </c>
      <c r="S47" t="s">
        <v>88</v>
      </c>
      <c r="T47" t="s">
        <v>87</v>
      </c>
      <c r="U47" t="s">
        <v>88</v>
      </c>
      <c r="V47" t="s">
        <v>87</v>
      </c>
      <c r="W47" t="s">
        <v>87</v>
      </c>
      <c r="X47" t="s">
        <v>87</v>
      </c>
      <c r="Y47" t="s">
        <v>88</v>
      </c>
      <c r="AD47">
        <v>4</v>
      </c>
      <c r="AE47" t="s">
        <v>103</v>
      </c>
      <c r="AG47" t="s">
        <v>91</v>
      </c>
      <c r="AH47">
        <v>2</v>
      </c>
      <c r="AI47">
        <v>3</v>
      </c>
      <c r="AJ47">
        <v>4</v>
      </c>
      <c r="AK47" t="s">
        <v>93</v>
      </c>
      <c r="AL47">
        <v>3</v>
      </c>
      <c r="AM47">
        <v>4</v>
      </c>
      <c r="AN47">
        <v>2</v>
      </c>
      <c r="AO47">
        <v>2</v>
      </c>
      <c r="AP47">
        <v>3</v>
      </c>
      <c r="AQ47">
        <v>3</v>
      </c>
      <c r="AR47">
        <v>3</v>
      </c>
      <c r="AS47">
        <v>3</v>
      </c>
      <c r="AT47">
        <v>4</v>
      </c>
      <c r="AU47">
        <v>4</v>
      </c>
      <c r="AV47">
        <v>3</v>
      </c>
      <c r="AW47">
        <v>4</v>
      </c>
      <c r="AX47">
        <v>3</v>
      </c>
      <c r="AY47">
        <v>3</v>
      </c>
      <c r="AZ47">
        <v>3</v>
      </c>
      <c r="BA47">
        <v>3</v>
      </c>
      <c r="BB47">
        <v>3</v>
      </c>
      <c r="BC47">
        <v>4</v>
      </c>
      <c r="BD47">
        <v>2</v>
      </c>
      <c r="BE47">
        <v>3</v>
      </c>
      <c r="BF47">
        <v>4</v>
      </c>
      <c r="BG47" t="s">
        <v>95</v>
      </c>
      <c r="BH47">
        <v>4</v>
      </c>
      <c r="BI47" t="s">
        <v>95</v>
      </c>
      <c r="BJ47">
        <v>4</v>
      </c>
      <c r="BK47" t="s">
        <v>95</v>
      </c>
      <c r="BL47" t="s">
        <v>95</v>
      </c>
      <c r="BN47">
        <v>277.74</v>
      </c>
      <c r="BO47">
        <v>144.97999999999999</v>
      </c>
      <c r="CB47">
        <v>132.76</v>
      </c>
    </row>
    <row r="48" spans="1:80" x14ac:dyDescent="0.35">
      <c r="A48">
        <v>43</v>
      </c>
      <c r="B48" t="s">
        <v>226</v>
      </c>
      <c r="C48">
        <v>2</v>
      </c>
      <c r="D48" t="s">
        <v>85</v>
      </c>
      <c r="E48">
        <v>1706792758</v>
      </c>
      <c r="F48" t="s">
        <v>227</v>
      </c>
      <c r="G48" t="s">
        <v>226</v>
      </c>
      <c r="H48" t="s">
        <v>87</v>
      </c>
      <c r="I48" t="s">
        <v>88</v>
      </c>
      <c r="J48" t="s">
        <v>88</v>
      </c>
      <c r="K48" t="s">
        <v>88</v>
      </c>
      <c r="L48" t="s">
        <v>88</v>
      </c>
      <c r="M48" t="s">
        <v>88</v>
      </c>
      <c r="O48" t="s">
        <v>88</v>
      </c>
      <c r="P48" t="s">
        <v>228</v>
      </c>
      <c r="Q48" t="s">
        <v>90</v>
      </c>
      <c r="S48" t="s">
        <v>88</v>
      </c>
      <c r="T48" t="s">
        <v>87</v>
      </c>
      <c r="U48" t="s">
        <v>88</v>
      </c>
      <c r="V48" t="s">
        <v>88</v>
      </c>
      <c r="W48" t="s">
        <v>88</v>
      </c>
      <c r="X48" t="s">
        <v>88</v>
      </c>
      <c r="Y48" t="s">
        <v>88</v>
      </c>
      <c r="AD48">
        <v>4</v>
      </c>
      <c r="AE48" t="s">
        <v>103</v>
      </c>
      <c r="AG48" t="s">
        <v>104</v>
      </c>
      <c r="AH48">
        <v>3</v>
      </c>
      <c r="AI48">
        <v>2</v>
      </c>
      <c r="AJ48" t="s">
        <v>93</v>
      </c>
      <c r="AK48" t="s">
        <v>93</v>
      </c>
      <c r="AL48">
        <v>3</v>
      </c>
      <c r="AM48">
        <v>3</v>
      </c>
      <c r="AN48">
        <v>2</v>
      </c>
      <c r="AO48">
        <v>4</v>
      </c>
      <c r="AP48" t="s">
        <v>111</v>
      </c>
      <c r="AQ48" t="s">
        <v>111</v>
      </c>
      <c r="AR48">
        <v>3</v>
      </c>
      <c r="AS48" t="s">
        <v>111</v>
      </c>
      <c r="AT48" t="s">
        <v>94</v>
      </c>
      <c r="AU48">
        <v>4</v>
      </c>
      <c r="AV48">
        <v>3</v>
      </c>
      <c r="AW48">
        <v>4</v>
      </c>
      <c r="AX48">
        <v>3</v>
      </c>
      <c r="AY48">
        <v>3</v>
      </c>
      <c r="AZ48">
        <v>4</v>
      </c>
      <c r="BA48">
        <v>4</v>
      </c>
      <c r="BB48">
        <v>4</v>
      </c>
      <c r="BC48">
        <v>4</v>
      </c>
      <c r="BD48">
        <v>3</v>
      </c>
      <c r="BE48">
        <v>2</v>
      </c>
      <c r="BF48" t="s">
        <v>95</v>
      </c>
      <c r="BG48" t="s">
        <v>95</v>
      </c>
      <c r="BH48" t="s">
        <v>95</v>
      </c>
      <c r="BI48" t="s">
        <v>95</v>
      </c>
      <c r="BJ48">
        <v>4</v>
      </c>
      <c r="BK48">
        <v>4</v>
      </c>
      <c r="BL48">
        <v>4</v>
      </c>
      <c r="BN48">
        <v>210.98</v>
      </c>
      <c r="BO48">
        <v>56.25</v>
      </c>
      <c r="CB48">
        <v>154.72999999999999</v>
      </c>
    </row>
    <row r="49" spans="1:80" x14ac:dyDescent="0.35">
      <c r="A49">
        <v>30</v>
      </c>
      <c r="B49" t="s">
        <v>186</v>
      </c>
      <c r="C49">
        <v>2</v>
      </c>
      <c r="D49" t="s">
        <v>85</v>
      </c>
      <c r="E49">
        <v>1174610750</v>
      </c>
      <c r="F49" t="s">
        <v>187</v>
      </c>
      <c r="G49" t="s">
        <v>186</v>
      </c>
      <c r="H49" t="s">
        <v>87</v>
      </c>
      <c r="I49" t="s">
        <v>88</v>
      </c>
      <c r="J49" t="s">
        <v>87</v>
      </c>
      <c r="K49" t="s">
        <v>88</v>
      </c>
      <c r="L49" t="s">
        <v>87</v>
      </c>
      <c r="M49" t="s">
        <v>87</v>
      </c>
      <c r="O49" t="s">
        <v>87</v>
      </c>
      <c r="Q49" t="s">
        <v>107</v>
      </c>
      <c r="R49" t="s">
        <v>102</v>
      </c>
      <c r="S49" t="s">
        <v>87</v>
      </c>
      <c r="T49" t="s">
        <v>88</v>
      </c>
      <c r="U49" t="s">
        <v>88</v>
      </c>
      <c r="V49" t="s">
        <v>88</v>
      </c>
      <c r="W49" t="s">
        <v>88</v>
      </c>
      <c r="X49" t="s">
        <v>87</v>
      </c>
      <c r="Y49" t="s">
        <v>87</v>
      </c>
      <c r="AF49" t="s">
        <v>242</v>
      </c>
      <c r="AG49" t="s">
        <v>104</v>
      </c>
      <c r="AH49">
        <v>2</v>
      </c>
      <c r="AI49">
        <v>3</v>
      </c>
      <c r="AJ49">
        <v>4</v>
      </c>
      <c r="AK49" t="s">
        <v>93</v>
      </c>
      <c r="AL49" t="s">
        <v>94</v>
      </c>
      <c r="AM49" t="s">
        <v>94</v>
      </c>
      <c r="AN49">
        <v>2</v>
      </c>
      <c r="AO49">
        <v>2</v>
      </c>
      <c r="AP49">
        <v>3</v>
      </c>
      <c r="AQ49">
        <v>2</v>
      </c>
      <c r="AR49">
        <v>2</v>
      </c>
      <c r="AS49" t="s">
        <v>111</v>
      </c>
      <c r="AT49">
        <v>3</v>
      </c>
      <c r="AU49">
        <v>4</v>
      </c>
      <c r="AV49">
        <v>4</v>
      </c>
      <c r="AW49" t="s">
        <v>94</v>
      </c>
      <c r="AX49" t="s">
        <v>94</v>
      </c>
      <c r="AY49" t="s">
        <v>94</v>
      </c>
      <c r="AZ49">
        <v>2</v>
      </c>
      <c r="BA49">
        <v>3</v>
      </c>
      <c r="BB49">
        <v>4</v>
      </c>
      <c r="BC49" t="s">
        <v>94</v>
      </c>
      <c r="BD49">
        <v>2</v>
      </c>
      <c r="BE49" t="s">
        <v>111</v>
      </c>
      <c r="BF49" t="s">
        <v>95</v>
      </c>
      <c r="BG49" t="s">
        <v>95</v>
      </c>
      <c r="BH49" t="s">
        <v>95</v>
      </c>
      <c r="BI49" t="s">
        <v>95</v>
      </c>
      <c r="BJ49" t="s">
        <v>95</v>
      </c>
      <c r="BK49" t="s">
        <v>95</v>
      </c>
      <c r="BL49" t="s">
        <v>95</v>
      </c>
      <c r="BN49">
        <v>165.08</v>
      </c>
      <c r="BO49">
        <v>81.180000000000007</v>
      </c>
      <c r="CB49">
        <v>83.9</v>
      </c>
    </row>
    <row r="50" spans="1:80" x14ac:dyDescent="0.35">
      <c r="A50">
        <v>22</v>
      </c>
      <c r="B50" t="s">
        <v>164</v>
      </c>
      <c r="C50">
        <v>2</v>
      </c>
      <c r="D50" t="s">
        <v>85</v>
      </c>
      <c r="E50">
        <v>362206594</v>
      </c>
      <c r="F50" t="s">
        <v>165</v>
      </c>
      <c r="G50" t="s">
        <v>164</v>
      </c>
      <c r="H50" t="s">
        <v>88</v>
      </c>
      <c r="I50" t="s">
        <v>88</v>
      </c>
      <c r="J50" t="s">
        <v>87</v>
      </c>
      <c r="K50" t="s">
        <v>88</v>
      </c>
      <c r="L50" t="s">
        <v>88</v>
      </c>
      <c r="M50" t="s">
        <v>88</v>
      </c>
      <c r="O50" t="s">
        <v>87</v>
      </c>
      <c r="Q50" t="s">
        <v>90</v>
      </c>
      <c r="R50" t="s">
        <v>102</v>
      </c>
      <c r="S50" t="s">
        <v>88</v>
      </c>
      <c r="T50" t="s">
        <v>87</v>
      </c>
      <c r="U50" t="s">
        <v>88</v>
      </c>
      <c r="V50" t="s">
        <v>87</v>
      </c>
      <c r="W50" t="s">
        <v>87</v>
      </c>
      <c r="X50" t="s">
        <v>88</v>
      </c>
      <c r="Y50" t="s">
        <v>87</v>
      </c>
      <c r="AD50">
        <v>2</v>
      </c>
      <c r="AE50" t="s">
        <v>109</v>
      </c>
      <c r="AF50" t="s">
        <v>245</v>
      </c>
      <c r="AG50" t="s">
        <v>104</v>
      </c>
      <c r="AH50">
        <v>3</v>
      </c>
      <c r="AI50">
        <v>3</v>
      </c>
      <c r="AJ50" t="s">
        <v>93</v>
      </c>
      <c r="AK50" t="s">
        <v>93</v>
      </c>
      <c r="AL50">
        <v>4</v>
      </c>
      <c r="AM50" t="s">
        <v>111</v>
      </c>
      <c r="AN50">
        <v>3</v>
      </c>
      <c r="AO50">
        <v>2</v>
      </c>
      <c r="AP50">
        <v>2</v>
      </c>
      <c r="AQ50">
        <v>2</v>
      </c>
      <c r="AR50">
        <v>3</v>
      </c>
      <c r="AS50">
        <v>3</v>
      </c>
      <c r="AT50">
        <v>3</v>
      </c>
      <c r="AU50">
        <v>3</v>
      </c>
      <c r="AV50" t="s">
        <v>94</v>
      </c>
      <c r="AW50" t="s">
        <v>94</v>
      </c>
      <c r="AX50">
        <v>3</v>
      </c>
      <c r="AY50">
        <v>3</v>
      </c>
      <c r="AZ50">
        <v>3</v>
      </c>
      <c r="BA50">
        <v>3</v>
      </c>
      <c r="BB50">
        <v>2</v>
      </c>
      <c r="BC50">
        <v>2</v>
      </c>
      <c r="BD50">
        <v>3</v>
      </c>
      <c r="BE50">
        <v>3</v>
      </c>
      <c r="BF50" t="s">
        <v>95</v>
      </c>
      <c r="BG50">
        <v>3</v>
      </c>
      <c r="BH50">
        <v>3</v>
      </c>
      <c r="BI50">
        <v>3</v>
      </c>
      <c r="BJ50">
        <v>3</v>
      </c>
      <c r="BK50">
        <v>3</v>
      </c>
      <c r="BL50">
        <v>3</v>
      </c>
      <c r="BM50" t="s">
        <v>246</v>
      </c>
      <c r="BN50">
        <v>337.13</v>
      </c>
      <c r="BO50">
        <v>148.77000000000001</v>
      </c>
      <c r="CB50">
        <v>188.36</v>
      </c>
    </row>
    <row r="51" spans="1:80" s="1" customFormat="1" x14ac:dyDescent="0.35">
      <c r="A51" s="1">
        <v>7</v>
      </c>
      <c r="C51" s="1">
        <v>0</v>
      </c>
      <c r="D51" s="1" t="s">
        <v>85</v>
      </c>
      <c r="E51" s="1">
        <v>894877432</v>
      </c>
      <c r="F51" s="1" t="s">
        <v>121</v>
      </c>
      <c r="G51" s="1" t="s">
        <v>121</v>
      </c>
      <c r="H51" s="1" t="s">
        <v>122</v>
      </c>
      <c r="I51" s="1" t="s">
        <v>122</v>
      </c>
      <c r="J51" s="1" t="s">
        <v>122</v>
      </c>
      <c r="K51" s="1" t="s">
        <v>122</v>
      </c>
      <c r="L51" s="1" t="s">
        <v>122</v>
      </c>
      <c r="M51" s="1" t="s">
        <v>122</v>
      </c>
      <c r="O51" s="1" t="s">
        <v>122</v>
      </c>
      <c r="S51" s="1" t="s">
        <v>122</v>
      </c>
      <c r="T51" s="1" t="s">
        <v>122</v>
      </c>
      <c r="U51" s="1" t="s">
        <v>122</v>
      </c>
      <c r="V51" s="1" t="s">
        <v>122</v>
      </c>
      <c r="W51" s="1" t="s">
        <v>122</v>
      </c>
      <c r="X51" s="1" t="s">
        <v>122</v>
      </c>
      <c r="Y51" s="1" t="s">
        <v>122</v>
      </c>
      <c r="AD51" s="1">
        <v>3</v>
      </c>
      <c r="AE51" s="1">
        <v>4</v>
      </c>
      <c r="AF51" s="1" t="s">
        <v>249</v>
      </c>
      <c r="AG51" s="1" t="s">
        <v>91</v>
      </c>
      <c r="AH51" s="1">
        <v>2</v>
      </c>
      <c r="AI51" s="1">
        <v>2</v>
      </c>
      <c r="AJ51" s="1">
        <v>3</v>
      </c>
      <c r="AK51" s="1" t="s">
        <v>93</v>
      </c>
      <c r="AL51" s="1">
        <v>4</v>
      </c>
      <c r="AM51" s="1">
        <v>4</v>
      </c>
      <c r="AN51" s="1">
        <v>3</v>
      </c>
      <c r="AO51" s="1">
        <v>3</v>
      </c>
      <c r="AP51" s="1">
        <v>4</v>
      </c>
      <c r="AQ51" s="1">
        <v>4</v>
      </c>
      <c r="AR51" s="1">
        <v>3</v>
      </c>
      <c r="AS51" s="1">
        <v>3</v>
      </c>
      <c r="AT51" s="1">
        <v>4</v>
      </c>
      <c r="AU51" s="1">
        <v>4</v>
      </c>
      <c r="AV51" s="1">
        <v>4</v>
      </c>
      <c r="AW51" s="1">
        <v>4</v>
      </c>
      <c r="AX51" s="1">
        <v>4</v>
      </c>
      <c r="AY51" s="1">
        <v>3</v>
      </c>
      <c r="AZ51" s="1">
        <v>2</v>
      </c>
      <c r="BA51" s="1">
        <v>3</v>
      </c>
      <c r="BB51" s="1">
        <v>3</v>
      </c>
      <c r="BC51" s="1">
        <v>3</v>
      </c>
      <c r="BD51" s="1">
        <v>3</v>
      </c>
      <c r="BE51" s="1">
        <v>3</v>
      </c>
      <c r="BF51" s="1">
        <v>3</v>
      </c>
      <c r="BG51" s="1">
        <v>2</v>
      </c>
      <c r="BH51" s="1">
        <v>3</v>
      </c>
      <c r="BI51" s="1">
        <v>3</v>
      </c>
      <c r="BJ51" s="1">
        <v>2</v>
      </c>
      <c r="BK51" s="1">
        <v>3</v>
      </c>
      <c r="BL51" s="1">
        <v>3</v>
      </c>
      <c r="BM51" s="1" t="s">
        <v>250</v>
      </c>
      <c r="BN51" s="1">
        <v>353.57</v>
      </c>
      <c r="BO51" s="1">
        <v>90.46</v>
      </c>
      <c r="CB51" s="1">
        <v>263.11</v>
      </c>
    </row>
    <row r="52" spans="1:80" s="1" customFormat="1" x14ac:dyDescent="0.35">
      <c r="A52" s="1">
        <v>10</v>
      </c>
      <c r="C52" s="1">
        <v>0</v>
      </c>
      <c r="D52" s="1" t="s">
        <v>85</v>
      </c>
      <c r="E52" s="1">
        <v>444907237</v>
      </c>
      <c r="F52" s="1" t="s">
        <v>130</v>
      </c>
      <c r="G52" s="1" t="s">
        <v>130</v>
      </c>
      <c r="H52" s="1" t="s">
        <v>122</v>
      </c>
      <c r="I52" s="1" t="s">
        <v>122</v>
      </c>
      <c r="J52" s="1" t="s">
        <v>122</v>
      </c>
      <c r="K52" s="1" t="s">
        <v>122</v>
      </c>
      <c r="L52" s="1" t="s">
        <v>122</v>
      </c>
      <c r="M52" s="1" t="s">
        <v>122</v>
      </c>
      <c r="O52" s="1" t="s">
        <v>122</v>
      </c>
      <c r="S52" s="1" t="s">
        <v>122</v>
      </c>
      <c r="T52" s="1" t="s">
        <v>122</v>
      </c>
      <c r="U52" s="1" t="s">
        <v>122</v>
      </c>
      <c r="V52" s="1" t="s">
        <v>122</v>
      </c>
      <c r="W52" s="1" t="s">
        <v>122</v>
      </c>
      <c r="X52" s="1" t="s">
        <v>122</v>
      </c>
      <c r="Y52" s="1" t="s">
        <v>122</v>
      </c>
      <c r="AD52" s="1">
        <v>3</v>
      </c>
      <c r="AE52" s="1" t="s">
        <v>103</v>
      </c>
      <c r="AF52" s="1" t="s">
        <v>254</v>
      </c>
      <c r="AG52" s="1" t="s">
        <v>91</v>
      </c>
      <c r="AH52" s="1" t="s">
        <v>92</v>
      </c>
      <c r="AI52" s="1">
        <v>2</v>
      </c>
      <c r="AJ52" s="1">
        <v>2</v>
      </c>
      <c r="AK52" s="1" t="s">
        <v>93</v>
      </c>
      <c r="AL52" s="1" t="s">
        <v>94</v>
      </c>
      <c r="AM52" s="1" t="s">
        <v>94</v>
      </c>
      <c r="AN52" s="1">
        <v>3</v>
      </c>
      <c r="AO52" s="1">
        <v>2</v>
      </c>
      <c r="AP52" s="1">
        <v>4</v>
      </c>
      <c r="AQ52" s="1" t="s">
        <v>94</v>
      </c>
      <c r="AR52" s="1">
        <v>4</v>
      </c>
      <c r="AS52" s="1">
        <v>4</v>
      </c>
      <c r="AT52" s="1">
        <v>4</v>
      </c>
      <c r="AU52" s="1" t="s">
        <v>94</v>
      </c>
      <c r="AV52" s="1">
        <v>4</v>
      </c>
      <c r="AW52" s="1" t="s">
        <v>94</v>
      </c>
      <c r="AX52" s="1" t="s">
        <v>94</v>
      </c>
      <c r="AY52" s="1">
        <v>3</v>
      </c>
      <c r="AZ52" s="1">
        <v>3</v>
      </c>
      <c r="BA52" s="1" t="s">
        <v>111</v>
      </c>
      <c r="BB52" s="1" t="s">
        <v>94</v>
      </c>
      <c r="BC52" s="1" t="s">
        <v>94</v>
      </c>
      <c r="BD52" s="1">
        <v>3</v>
      </c>
      <c r="BE52" s="1">
        <v>4</v>
      </c>
      <c r="BF52" s="1">
        <v>4</v>
      </c>
      <c r="BG52" s="1">
        <v>2</v>
      </c>
      <c r="BH52" s="1">
        <v>3</v>
      </c>
      <c r="BI52" s="1" t="s">
        <v>95</v>
      </c>
      <c r="BJ52" s="1">
        <v>4</v>
      </c>
      <c r="BK52" s="1">
        <v>4</v>
      </c>
      <c r="BL52" s="1" t="s">
        <v>95</v>
      </c>
      <c r="BN52" s="1">
        <v>202.12</v>
      </c>
      <c r="BO52" s="1">
        <v>91.4</v>
      </c>
      <c r="CB52" s="1">
        <v>110.72</v>
      </c>
    </row>
    <row r="53" spans="1:80" s="1" customFormat="1" x14ac:dyDescent="0.35">
      <c r="A53" s="1">
        <v>18</v>
      </c>
      <c r="C53" s="1">
        <v>0</v>
      </c>
      <c r="D53" s="1" t="s">
        <v>85</v>
      </c>
      <c r="E53" s="1">
        <v>1028086851</v>
      </c>
      <c r="F53" s="1" t="s">
        <v>151</v>
      </c>
      <c r="G53" s="1" t="s">
        <v>151</v>
      </c>
      <c r="H53" s="1" t="s">
        <v>122</v>
      </c>
      <c r="I53" s="1" t="s">
        <v>122</v>
      </c>
      <c r="J53" s="1" t="s">
        <v>122</v>
      </c>
      <c r="K53" s="1" t="s">
        <v>122</v>
      </c>
      <c r="L53" s="1" t="s">
        <v>122</v>
      </c>
      <c r="M53" s="1" t="s">
        <v>122</v>
      </c>
      <c r="O53" s="1" t="s">
        <v>122</v>
      </c>
      <c r="S53" s="1" t="s">
        <v>122</v>
      </c>
      <c r="T53" s="1" t="s">
        <v>122</v>
      </c>
      <c r="U53" s="1" t="s">
        <v>122</v>
      </c>
      <c r="V53" s="1" t="s">
        <v>122</v>
      </c>
      <c r="W53" s="1" t="s">
        <v>122</v>
      </c>
      <c r="X53" s="1" t="s">
        <v>122</v>
      </c>
      <c r="Y53" s="1" t="s">
        <v>122</v>
      </c>
      <c r="AD53" s="1" t="s">
        <v>103</v>
      </c>
      <c r="AE53" s="1" t="s">
        <v>103</v>
      </c>
      <c r="AG53" s="1" t="s">
        <v>104</v>
      </c>
      <c r="AH53" s="1">
        <v>2</v>
      </c>
      <c r="AI53" s="1">
        <v>3</v>
      </c>
      <c r="AJ53" s="1">
        <v>4</v>
      </c>
      <c r="AK53" s="1">
        <v>4</v>
      </c>
      <c r="AL53" s="1">
        <v>4</v>
      </c>
      <c r="AM53" s="1">
        <v>4</v>
      </c>
      <c r="AN53" s="1">
        <v>3</v>
      </c>
      <c r="AO53" s="1">
        <v>4</v>
      </c>
      <c r="AP53" s="1">
        <v>3</v>
      </c>
      <c r="AQ53" s="1">
        <v>3</v>
      </c>
      <c r="AR53" s="1">
        <v>3</v>
      </c>
      <c r="AS53" s="1">
        <v>4</v>
      </c>
      <c r="AT53" s="1">
        <v>3</v>
      </c>
      <c r="AU53" s="1">
        <v>4</v>
      </c>
      <c r="AV53" s="1" t="s">
        <v>94</v>
      </c>
      <c r="AW53" s="1">
        <v>4</v>
      </c>
      <c r="AX53" s="1">
        <v>4</v>
      </c>
      <c r="AY53" s="1">
        <v>4</v>
      </c>
      <c r="AZ53" s="1">
        <v>4</v>
      </c>
      <c r="BA53" s="1">
        <v>4</v>
      </c>
      <c r="BB53" s="1">
        <v>4</v>
      </c>
      <c r="BC53" s="1">
        <v>4</v>
      </c>
      <c r="BD53" s="1">
        <v>4</v>
      </c>
      <c r="BE53" s="1">
        <v>4</v>
      </c>
      <c r="BF53" s="1" t="s">
        <v>95</v>
      </c>
      <c r="BG53" s="1">
        <v>4</v>
      </c>
      <c r="BH53" s="1">
        <v>4</v>
      </c>
      <c r="BI53" s="1">
        <v>4</v>
      </c>
      <c r="BJ53" s="1">
        <v>4</v>
      </c>
      <c r="BK53" s="1">
        <v>4</v>
      </c>
      <c r="BL53" s="1">
        <v>4</v>
      </c>
      <c r="BN53" s="1">
        <v>169.96</v>
      </c>
      <c r="BO53" s="1">
        <v>36.24</v>
      </c>
      <c r="CB53" s="1">
        <v>133.72</v>
      </c>
    </row>
    <row r="54" spans="1:80" s="1" customFormat="1" x14ac:dyDescent="0.35">
      <c r="A54" s="1">
        <v>53</v>
      </c>
      <c r="C54" s="1">
        <v>0</v>
      </c>
      <c r="D54" s="1" t="s">
        <v>85</v>
      </c>
      <c r="E54" s="1">
        <v>374630683</v>
      </c>
      <c r="F54" s="1" t="s">
        <v>257</v>
      </c>
      <c r="G54" s="1" t="s">
        <v>258</v>
      </c>
      <c r="H54" s="1" t="s">
        <v>122</v>
      </c>
      <c r="I54" s="1" t="s">
        <v>122</v>
      </c>
      <c r="J54" s="1" t="s">
        <v>122</v>
      </c>
      <c r="K54" s="1" t="s">
        <v>122</v>
      </c>
      <c r="L54" s="1" t="s">
        <v>122</v>
      </c>
      <c r="M54" s="1" t="s">
        <v>122</v>
      </c>
      <c r="O54" s="1" t="s">
        <v>122</v>
      </c>
      <c r="S54" s="1" t="s">
        <v>122</v>
      </c>
      <c r="T54" s="1" t="s">
        <v>122</v>
      </c>
      <c r="U54" s="1" t="s">
        <v>122</v>
      </c>
      <c r="V54" s="1" t="s">
        <v>122</v>
      </c>
      <c r="W54" s="1" t="s">
        <v>122</v>
      </c>
      <c r="X54" s="1" t="s">
        <v>122</v>
      </c>
      <c r="Y54" s="1" t="s">
        <v>122</v>
      </c>
      <c r="BN54" s="1">
        <v>0</v>
      </c>
    </row>
    <row r="56" spans="1:80" x14ac:dyDescent="0.35">
      <c r="N56" t="s">
        <v>87</v>
      </c>
      <c r="O56">
        <f>COUNTIF($O$2:$O$50,"Sí")</f>
        <v>34</v>
      </c>
      <c r="P56" t="s">
        <v>107</v>
      </c>
      <c r="Q56">
        <f>COUNTIF($Q$2:$Q$50,P56)</f>
        <v>9</v>
      </c>
      <c r="R56">
        <f>COUNTIF($R$2:$R$54,"Sí")</f>
        <v>6</v>
      </c>
      <c r="T56" t="s">
        <v>87</v>
      </c>
      <c r="U56">
        <f>COUNTIF($U$2:$U$50,"Sí")</f>
        <v>7</v>
      </c>
      <c r="AF56" t="s">
        <v>91</v>
      </c>
      <c r="AG56">
        <f>COUNTIF($AG$2:$AG$53,AF56)</f>
        <v>18</v>
      </c>
    </row>
    <row r="57" spans="1:80" x14ac:dyDescent="0.35">
      <c r="N57" t="s">
        <v>88</v>
      </c>
      <c r="O57">
        <f>COUNTIF($O$2:$O$50,"No")</f>
        <v>15</v>
      </c>
      <c r="P57" t="s">
        <v>99</v>
      </c>
      <c r="Q57">
        <f t="shared" ref="Q57:Q59" si="0">COUNTIF($Q$2:$Q$50,P57)</f>
        <v>4</v>
      </c>
      <c r="R57">
        <f>COUNTIF($R$2:$R$54,"No")</f>
        <v>9</v>
      </c>
      <c r="T57" t="s">
        <v>88</v>
      </c>
      <c r="U57">
        <f>COUNTIF($U$2:$U$50,"No")</f>
        <v>42</v>
      </c>
      <c r="AF57" t="s">
        <v>104</v>
      </c>
      <c r="AG57">
        <f>COUNTIF($AG$2:$AG$53,AF57)</f>
        <v>30</v>
      </c>
    </row>
    <row r="58" spans="1:80" x14ac:dyDescent="0.35">
      <c r="N58" t="s">
        <v>122</v>
      </c>
      <c r="O58">
        <f>COUNTIF($O$2:$O$54,"N/A")</f>
        <v>4</v>
      </c>
      <c r="P58" t="s">
        <v>115</v>
      </c>
      <c r="Q58">
        <f t="shared" si="0"/>
        <v>10</v>
      </c>
      <c r="R58">
        <f>COUNTIF($R$2:$R$54,"Parcialmente")</f>
        <v>19</v>
      </c>
      <c r="T58" t="s">
        <v>122</v>
      </c>
      <c r="U58">
        <f>COUNTIF($U$2:$U$54,"N/A")</f>
        <v>4</v>
      </c>
      <c r="AF58" t="s">
        <v>142</v>
      </c>
      <c r="AG58">
        <f>COUNTIF($AG$2:$AG$53,AF58)</f>
        <v>1</v>
      </c>
    </row>
    <row r="59" spans="1:80" x14ac:dyDescent="0.35">
      <c r="N59" t="s">
        <v>259</v>
      </c>
      <c r="O59">
        <f>SUM(O56:O58)</f>
        <v>53</v>
      </c>
      <c r="P59" t="s">
        <v>90</v>
      </c>
      <c r="Q59">
        <f t="shared" si="0"/>
        <v>26</v>
      </c>
      <c r="R59">
        <f>COUNTBLANK($R$2:$R$54)</f>
        <v>19</v>
      </c>
      <c r="T59" t="s">
        <v>259</v>
      </c>
      <c r="U59">
        <f>SUM(U56:U58)</f>
        <v>53</v>
      </c>
    </row>
    <row r="60" spans="1:80" x14ac:dyDescent="0.35">
      <c r="Q60">
        <f>SUM(Q56:Q59)</f>
        <v>49</v>
      </c>
      <c r="R60">
        <f>SUM(R56:R59)</f>
        <v>53</v>
      </c>
    </row>
  </sheetData>
  <autoFilter ref="A1:Z1" xr:uid="{00000000-0001-0000-0000-000000000000}"/>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Encuesta de ingreso a énfasis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Kryscia Ramírez Benavides</cp:lastModifiedBy>
  <cp:revision>0</cp:revision>
  <dcterms:created xsi:type="dcterms:W3CDTF">2023-12-05T22:38:40Z</dcterms:created>
  <dcterms:modified xsi:type="dcterms:W3CDTF">2026-04-14T00:35:32Z</dcterms:modified>
</cp:coreProperties>
</file>