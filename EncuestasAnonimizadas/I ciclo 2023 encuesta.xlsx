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rysd\Dropbox\ComisionEvaluacionOrientacion\Enfasis\Encuestas\EncuestasAnomizadas\"/>
    </mc:Choice>
  </mc:AlternateContent>
  <xr:revisionPtr revIDLastSave="0" documentId="13_ncr:1_{65C7E332-7CDF-4803-A289-75C529FAA6D2}" xr6:coauthVersionLast="47" xr6:coauthVersionMax="47" xr10:uidLastSave="{00000000-0000-0000-0000-000000000000}"/>
  <bookViews>
    <workbookView xWindow="-98" yWindow="-98" windowWidth="23596" windowHeight="15076" tabRatio="212" firstSheet="1" activeTab="1" xr2:uid="{00000000-000D-0000-FFFF-FFFF00000000}"/>
  </bookViews>
  <sheets>
    <sheet name="Encuesta de ingreso a énfasis" sheetId="1" r:id="rId1"/>
    <sheet name="Encuesta de ingreso a énfas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0" i="2" l="1"/>
  <c r="AH41" i="2"/>
  <c r="AH39" i="2"/>
  <c r="U40" i="2"/>
  <c r="U39" i="2"/>
  <c r="R42" i="2"/>
  <c r="R41" i="2"/>
  <c r="R40" i="2"/>
  <c r="R39" i="2"/>
  <c r="Q40" i="2"/>
  <c r="Q41" i="2"/>
  <c r="Q42" i="2"/>
  <c r="Q39" i="2"/>
  <c r="O40" i="2"/>
  <c r="O39" i="2"/>
  <c r="AH42" i="2" l="1"/>
  <c r="U43" i="2"/>
  <c r="R43" i="2"/>
  <c r="Q43" i="2"/>
  <c r="O43" i="2"/>
</calcChain>
</file>

<file path=xl/sharedStrings.xml><?xml version="1.0" encoding="utf-8"?>
<sst xmlns="http://schemas.openxmlformats.org/spreadsheetml/2006/main" count="2794" uniqueCount="321">
  <si>
    <t>ID de respuesta</t>
  </si>
  <si>
    <t>Fecha de envío</t>
  </si>
  <si>
    <t>Última página</t>
  </si>
  <si>
    <t>Lenguaje inicial</t>
  </si>
  <si>
    <t>Semilla</t>
  </si>
  <si>
    <t>Fecha de inicio</t>
  </si>
  <si>
    <t>Fecha de la última acción</t>
  </si>
  <si>
    <t>Carné:</t>
  </si>
  <si>
    <t>Nombre completo:</t>
  </si>
  <si>
    <t>¿Por cuáles medios se enteró de las actividades informativas de énfasis? [Correo institucional UCR]</t>
  </si>
  <si>
    <t>¿Por cuáles medios se enteró de las actividades informativas de énfasis? [Página web de la ECCI]</t>
  </si>
  <si>
    <t>¿Por cuáles medios se enteró de las actividades informativas de énfasis? [Redes sociales de la ECCI]</t>
  </si>
  <si>
    <t>¿Por cuáles medios se enteró de las actividades informativas de énfasis? [Plataforma Element]</t>
  </si>
  <si>
    <t>¿Por cuáles medios se enteró de las actividades informativas de énfasis? [Docentes]</t>
  </si>
  <si>
    <t>¿Por cuáles medios se enteró de las actividades informativas de énfasis? [Compañeros o amigos]</t>
  </si>
  <si>
    <t>¿Por cuáles medios se enteró de las actividades informativas de énfasis? [Otro]</t>
  </si>
  <si>
    <t>¿Asistió a alguna actividad realizada por los énfasis?</t>
  </si>
  <si>
    <t>Comente por qué no asistió a las actividades realizadas por los énfasis. </t>
  </si>
  <si>
    <t>¿En cuál semestre de la carrera tomó la decisión sobre el énfasis?</t>
  </si>
  <si>
    <t>¿Considera que las actividades realizadas por los énfasis influyeron en su elección?</t>
  </si>
  <si>
    <t>¿Cuáles factores influyeron en su decisión de elección de énfasis? [Interacciones con profesores]</t>
  </si>
  <si>
    <t>¿Cuáles factores influyeron en su decisión de elección de énfasis? [Cursos que ha llevado hasta el momento]</t>
  </si>
  <si>
    <t>¿Cuáles factores influyeron en su decisión de elección de énfasis? [Actividades organizadas por la ECCI]</t>
  </si>
  <si>
    <t>¿Cuáles factores influyeron en su decisión de elección de énfasis? [Interacción con estudiantes avanzados en la carrera]</t>
  </si>
  <si>
    <t>¿Cuáles factores influyeron en su decisión de elección de énfasis? [Análisis del plan de estudios de cada énfasis]</t>
  </si>
  <si>
    <t>¿Cuáles factores influyeron en su decisión de elección de énfasis? [Expectativa de obtener un empleo bien remunerado]</t>
  </si>
  <si>
    <t>¿Cuáles factores influyeron en su decisión de elección de énfasis? [Oferta de puestos disponibles en la industria]</t>
  </si>
  <si>
    <t>¿Cuáles factores influyeron en su decisión de elección de énfasis? [Otro]</t>
  </si>
  <si>
    <t>Indique el impacto que tuvieron las actividades realizadas por los énfasis en su decisión: [Actividades del Énfasis de IS]</t>
  </si>
  <si>
    <t>Indique el impacto que tuvieron las actividades realizadas por los énfasis en su decisión: [Actividades del Énfasis de ITI]</t>
  </si>
  <si>
    <t>Indique el impacto que tuvieron las actividades realizadas por los énfasis en su decisión: [Actividades del Énfasis de CC]</t>
  </si>
  <si>
    <t>Indique qué tan útiles fueron las siguientes actividades: [Charla introductoria de los énfasis]</t>
  </si>
  <si>
    <t>Indique qué tan útiles fueron las siguientes actividades: [Mesa redonda de los tres énfasis]</t>
  </si>
  <si>
    <t>Indique qué tan útiles fueron las siguientes actividades: [Charla del proceso administrativo y mitos &amp;amp; realidades]</t>
  </si>
  <si>
    <t>Comente brevemente por qué considera que fueron poco útiles las actividades indicadas en la pregunta anterior.</t>
  </si>
  <si>
    <t>¿Cuál énfasis va a elegir?</t>
  </si>
  <si>
    <t>Valore la dificultad de aprobar los siguientes semestres (ciclos) de la carrera si se lleva el bloque completo, usando una escala de 1 a 5 (donde 1 es muy fácil y 5 es muy difícil).  [I ciclo Introducción a la Computación + Introducción a la Matemática para Computación + Generales + Inglés + Deportiva]</t>
  </si>
  <si>
    <t>Valore la dificultad de aprobar los siguientes semestres (ciclos) de la carrera si se lleva el bloque completo, usando una escala de 1 a 5 (donde 1 es muy fácil y 5 es muy difícil).  [II ciclo Estructuras Discretas + Programación 1 + Cálculo 1 + Generales]</t>
  </si>
  <si>
    <t>Valore la dificultad de aprobar los siguientes semestres (ciclos) de la carrera si se lleva el bloque completo, usando una escala de 1 a 5 (donde 1 es muy fácil y 5 es muy difícil).  [III ciclo Programación 2 + Fundamentos de Arquitectura + Cálculo 2 + Álgebra Lineal + Seminario de Realidad Nacional]</t>
  </si>
  <si>
    <t>Valore la dificultad de aprobar los siguientes semestres (ciclos) de la carrera si se lleva el bloque completo, usando una escala de 1 a 5 (donde 1 es muy fácil y 5 es muy difícil).  [IV ciclo Programación Paralela y Concurrente + Análisis de Algoritmos y Estructuras de Datos + Probabilidad y Estadística + Lenguaje Ensamblador + Proyecto Integrador de Ensambla-Arqui]</t>
  </si>
  <si>
    <t>Califique el dominio que tiene de las siguientes áreas de conocimiento y qué tan efectiva fue su enseñanza. Use una escala de 1 a 5, donde 1 es muy bajo y 5 es muy alto. [Programación][Eje 1]</t>
  </si>
  <si>
    <t>Califique el dominio que tiene de las siguientes áreas de conocimiento y qué tan efectiva fue su enseñanza. Use una escala de 1 a 5, donde 1 es muy bajo y 5 es muy alto. [Programación][Eje 2]</t>
  </si>
  <si>
    <t>Califique el dominio que tiene de las siguientes áreas de conocimiento y qué tan efectiva fue su enseñanza. Use una escala de 1 a 5, donde 1 es muy bajo y 5 es muy alto. [Estructuras discretas][Eje 1]</t>
  </si>
  <si>
    <t>Califique el dominio que tiene de las siguientes áreas de conocimiento y qué tan efectiva fue su enseñanza. Use una escala de 1 a 5, donde 1 es muy bajo y 5 es muy alto. [Estructuras discretas][Eje 2]</t>
  </si>
  <si>
    <t>Califique el dominio que tiene de las siguientes áreas de conocimiento y qué tan efectiva fue su enseñanza. Use una escala de 1 a 5, donde 1 es muy bajo y 5 es muy alto. [Fundamentos de arquitectura][Eje 1]</t>
  </si>
  <si>
    <t>Califique el dominio que tiene de las siguientes áreas de conocimiento y qué tan efectiva fue su enseñanza. Use una escala de 1 a 5, donde 1 es muy bajo y 5 es muy alto. [Fundamentos de arquitectura][Eje 2]</t>
  </si>
  <si>
    <t>Califique el dominio que tiene de las siguientes áreas de conocimiento y qué tan efectiva fue su enseñanza. Use una escala de 1 a 5, donde 1 es muy bajo y 5 es muy alto. [Lenguaje Ensamblador][Eje 1]</t>
  </si>
  <si>
    <t>Califique el dominio que tiene de las siguientes áreas de conocimiento y qué tan efectiva fue su enseñanza. Use una escala de 1 a 5, donde 1 es muy bajo y 5 es muy alto. [Lenguaje Ensamblador][Eje 2]</t>
  </si>
  <si>
    <t>Califique el dominio que tiene de las siguientes áreas de conocimiento y qué tan efectiva fue su enseñanza. Use una escala de 1 a 5, donde 1 es muy bajo y 5 es muy alto. [Análisis de algoritmos y estructuras de datos][Eje 1]</t>
  </si>
  <si>
    <t>Califique el dominio que tiene de las siguientes áreas de conocimiento y qué tan efectiva fue su enseñanza. Use una escala de 1 a 5, donde 1 es muy bajo y 5 es muy alto. [Análisis de algoritmos y estructuras de datos][Eje 2]</t>
  </si>
  <si>
    <t>Califique el dominio que tiene de las siguientes áreas de conocimiento y qué tan efectiva fue su enseñanza. Use una escala de 1 a 5, donde 1 es muy bajo y 5 es muy alto. [Programación paralela y concurrente][Eje 1]</t>
  </si>
  <si>
    <t>Califique el dominio que tiene de las siguientes áreas de conocimiento y qué tan efectiva fue su enseñanza. Use una escala de 1 a 5, donde 1 es muy bajo y 5 es muy alto. [Programación paralela y concurrente][Eje 2]</t>
  </si>
  <si>
    <t>Califique el dominio que tiene de las siguientes áreas de conocimiento y qué tan efectiva fue su enseñanza. Use una escala de 1 a 5, donde 1 es muy bajo y 5 es muy alto. [Introducción a la matemática para computación][Eje 1]</t>
  </si>
  <si>
    <t>Califique el dominio que tiene de las siguientes áreas de conocimiento y qué tan efectiva fue su enseñanza. Use una escala de 1 a 5, donde 1 es muy bajo y 5 es muy alto. [Introducción a la matemática para computación][Eje 2]</t>
  </si>
  <si>
    <t>Califique el dominio que tiene de las siguientes áreas de conocimiento y qué tan efectiva fue su enseñanza. Use una escala de 1 a 5, donde 1 es muy bajo y 5 es muy alto. [Álgebra lineal][Eje 1]</t>
  </si>
  <si>
    <t>Califique el dominio que tiene de las siguientes áreas de conocimiento y qué tan efectiva fue su enseñanza. Use una escala de 1 a 5, donde 1 es muy bajo y 5 es muy alto. [Álgebra lineal][Eje 2]</t>
  </si>
  <si>
    <t>Califique el dominio que tiene de las siguientes áreas de conocimiento y qué tan efectiva fue su enseñanza. Use una escala de 1 a 5, donde 1 es muy bajo y 5 es muy alto. [Cálculo diferencial e integral][Eje 1]</t>
  </si>
  <si>
    <t>Califique el dominio que tiene de las siguientes áreas de conocimiento y qué tan efectiva fue su enseñanza. Use una escala de 1 a 5, donde 1 es muy bajo y 5 es muy alto. [Cálculo diferencial e integral][Eje 2]</t>
  </si>
  <si>
    <t>Califique el dominio que tiene de las siguientes áreas de conocimiento y qué tan efectiva fue su enseñanza. Use una escala de 1 a 5, donde 1 es muy bajo y 5 es muy alto. [Probabilidad y estadística][Eje 1]</t>
  </si>
  <si>
    <t>Califique el dominio que tiene de las siguientes áreas de conocimiento y qué tan efectiva fue su enseñanza. Use una escala de 1 a 5, donde 1 es muy bajo y 5 es muy alto. [Probabilidad y estadística][Eje 2]</t>
  </si>
  <si>
    <t>Indique qué tanto ha mejorado las siguientes habilidades o actitudes desde que inició la carrera. Use una escala de 1 a 5, donde 1 es el puntaje más bajo y 5 es el puntaje más alto. [Capacidad de trabajar en equipos]</t>
  </si>
  <si>
    <t>Indique qué tanto ha mejorado las siguientes habilidades o actitudes desde que inició la carrera. Use una escala de 1 a 5, donde 1 es el puntaje más bajo y 5 es el puntaje más alto. [Actitud ética, con responsabilidad profesional y compromiso social]</t>
  </si>
  <si>
    <t>Indique qué tanto ha mejorado las siguientes habilidades o actitudes desde que inició la carrera. Use una escala de 1 a 5, donde 1 es el puntaje más bajo y 5 es el puntaje más alto. [Comunicación asertiva]</t>
  </si>
  <si>
    <t>Indique qué tanto ha mejorado las siguientes habilidades o actitudes desde que inició la carrera. Use una escala de 1 a 5, donde 1 es el puntaje más bajo y 5 es el puntaje más alto. [Perseverancia]</t>
  </si>
  <si>
    <t>Indique qué tanto ha mejorado las siguientes habilidades o actitudes desde que inició la carrera. Use una escala de 1 a 5, donde 1 es el puntaje más bajo y 5 es el puntaje más alto. [Disciplina]</t>
  </si>
  <si>
    <t>Indique qué tanto ha mejorado las siguientes habilidades o actitudes desde que inició la carrera. Use una escala de 1 a 5, donde 1 es el puntaje más bajo y 5 es el puntaje más alto. [Colaboración]</t>
  </si>
  <si>
    <t>Indique qué tanto ha mejorado las siguientes habilidades o actitudes desde que inició la carrera. Use una escala de 1 a 5, donde 1 es el puntaje más bajo y 5 es el puntaje más alto. [Responsabilidad]</t>
  </si>
  <si>
    <t>Cualquier comentario o sugerencia que tenga sobre los dos primeros años del plan de estudios que ha cursado, será bienvenido. Por favor escríbalo aquí.</t>
  </si>
  <si>
    <t>Tiempo total</t>
  </si>
  <si>
    <t>Temporización del grupo: Información general</t>
  </si>
  <si>
    <t>Temporización de la pregunta: I01</t>
  </si>
  <si>
    <t>Temporización de la pregunta: I02</t>
  </si>
  <si>
    <t>Temporización de la pregunta: PC01</t>
  </si>
  <si>
    <t>Temporización de la pregunta: I03</t>
  </si>
  <si>
    <t>Temporización de la pregunta: NA01</t>
  </si>
  <si>
    <t>Temporización de la pregunta: I04</t>
  </si>
  <si>
    <t>Temporización de la pregunta: S05</t>
  </si>
  <si>
    <t>Temporización de la pregunta: I06</t>
  </si>
  <si>
    <t>Temporización de la pregunta: S07</t>
  </si>
  <si>
    <t>Temporización de la pregunta: S08</t>
  </si>
  <si>
    <t>Temporización de la pregunta: S09</t>
  </si>
  <si>
    <t>Temporización de la pregunta: I10</t>
  </si>
  <si>
    <t>Temporización del grupo: Retroalimentación sobre los dos primeros años del plan de estudios</t>
  </si>
  <si>
    <t>Temporización de la pregunta: R01</t>
  </si>
  <si>
    <t>Temporización de la pregunta: R02</t>
  </si>
  <si>
    <t>Temporización de la pregunta: R03</t>
  </si>
  <si>
    <t>Temporización de la pregunta: R04</t>
  </si>
  <si>
    <t>2023-04-26 10:26:44</t>
  </si>
  <si>
    <t>es</t>
  </si>
  <si>
    <t>2023-04-26 10:25:04</t>
  </si>
  <si>
    <t>C04950</t>
  </si>
  <si>
    <t>Alexandra Martinez</t>
  </si>
  <si>
    <t>No</t>
  </si>
  <si>
    <t>Sí</t>
  </si>
  <si>
    <t>erñqwñerj l j ´tjrtjjw</t>
  </si>
  <si>
    <t>I semestre del 2do año</t>
  </si>
  <si>
    <t>fkgnakfjgañklfjgalg gkjqñekjrgqñk rñg qg
rgq
rt
r
tq</t>
  </si>
  <si>
    <t>CC: Ciencias de la Computación</t>
  </si>
  <si>
    <t>Muy fácil: 1</t>
  </si>
  <si>
    <t>Muy bajo 1</t>
  </si>
  <si>
    <t>Muy alto 5</t>
  </si>
  <si>
    <t>rte</t>
  </si>
  <si>
    <t>2023-04-26 10:29:37</t>
  </si>
  <si>
    <t>2023-04-26 10:26:59</t>
  </si>
  <si>
    <t>ejtwj´tljwt</t>
  </si>
  <si>
    <t>Ale</t>
  </si>
  <si>
    <t>sfgksnflgjslkgj</t>
  </si>
  <si>
    <t>I semestre del 1er año</t>
  </si>
  <si>
    <t>Parcialmente</t>
  </si>
  <si>
    <t>1 - Nada útil</t>
  </si>
  <si>
    <t>IS: Ingeniería de Software</t>
  </si>
  <si>
    <t>He mejorado mucho: 5</t>
  </si>
  <si>
    <t>2023-04-26 11:30:47</t>
  </si>
  <si>
    <t>N/A</t>
  </si>
  <si>
    <t>2023-06-04 17:31:08</t>
  </si>
  <si>
    <t>2023-06-04 17:17:17</t>
  </si>
  <si>
    <t>C18440</t>
  </si>
  <si>
    <t>Sebastián Venegas Brenes</t>
  </si>
  <si>
    <t>Los horarios no se acomodaban a los míos, además de un problema de salud que presenté esa semana</t>
  </si>
  <si>
    <t>II semestre del 2do año</t>
  </si>
  <si>
    <t>Muy difícil: 5</t>
  </si>
  <si>
    <t>2023-06-05 08:24:58</t>
  </si>
  <si>
    <t>2023-06-05 08:21:07</t>
  </si>
  <si>
    <t>C18049</t>
  </si>
  <si>
    <t>Mariela Valerio Sáenz</t>
  </si>
  <si>
    <t>5 - Muy útil</t>
  </si>
  <si>
    <t>2023-06-05 12:37:52</t>
  </si>
  <si>
    <t>2023-06-05 12:10:28</t>
  </si>
  <si>
    <t>C16131</t>
  </si>
  <si>
    <t>Alexander Quesada Quesada</t>
  </si>
  <si>
    <t>Tenía cirugía programada+</t>
  </si>
  <si>
    <t>Intereses personales</t>
  </si>
  <si>
    <t>No considero que fueran poco útiles, solo fue cuestión de que oportunidades pude aceptar hasta el momento para el análisis respectivo.</t>
  </si>
  <si>
    <t>2023-06-05 12:50:39</t>
  </si>
  <si>
    <t>2023-06-05 18:29:07</t>
  </si>
  <si>
    <t>2023-06-05 18:25:20</t>
  </si>
  <si>
    <t>C08369</t>
  </si>
  <si>
    <t>Fabian vega meza</t>
  </si>
  <si>
    <t>No asistí</t>
  </si>
  <si>
    <t>2023-06-05 22:41:30</t>
  </si>
  <si>
    <t>2023-06-05 22:26:10</t>
  </si>
  <si>
    <t>B92771</t>
  </si>
  <si>
    <t>Sara Espinoza Hernández</t>
  </si>
  <si>
    <t>Estaba muy ocupada y se me olvidó.</t>
  </si>
  <si>
    <t>No me enteré de actividades organizadas por la ECCI, no he interactado con estudiantes avanzados en la carrera y no he investigado sobre ofertas.</t>
  </si>
  <si>
    <t>Llevar probabilidad y estadística antes o después. El cuarto semestre es muy duro y sería mejor tenerlo en alguna otra parte.</t>
  </si>
  <si>
    <t>2023-06-06 01:55:01</t>
  </si>
  <si>
    <t>2023-06-06 01:49:41</t>
  </si>
  <si>
    <t>C08866</t>
  </si>
  <si>
    <t>Harold Fabian Carrillo Valverde</t>
  </si>
  <si>
    <t>2023-06-06 13:50:26</t>
  </si>
  <si>
    <t>2023-06-06 13:38:36</t>
  </si>
  <si>
    <t>C17765</t>
  </si>
  <si>
    <t>Jairo Josué Soto Lobo</t>
  </si>
  <si>
    <t>Dijeron que podíamos preguntar cualquier tontera para lograr sacar los mitos y así y cuando pregunté algo, sentí q la persona encargada se burló de mí, siento q las presentaciones podrían estar mejor hechas, que podrían hacer pruebas de aptitud o de orientación para evitar posible gente arrepentida, en sí el proceso puede mejorar mucho.</t>
  </si>
  <si>
    <t>La dificultad del segundo año es demasiado alta, entonces no es básicamente posible lograrlo sin dividirlo, sería más recomendable aumentarle la dificultad a primer año para que así si alguien va a dejar la carrera lo haga antes. Otra cosa es q hay muy pocos cursos relacionados con el énfasis de TI y siento que esa es una de las razones por las que poca gente la escoge, tal vez podrían agregar aunque sea un curso bastante enfático en TI en los primeros dos años.</t>
  </si>
  <si>
    <t>2023-06-06 14:38:47</t>
  </si>
  <si>
    <t>2023-06-06 14:29:05</t>
  </si>
  <si>
    <t>C08538</t>
  </si>
  <si>
    <t>Christopher Jesus Viquez Aguilar</t>
  </si>
  <si>
    <t>Ya tenia clara mi elección</t>
  </si>
  <si>
    <t>Porque ya había decidido</t>
  </si>
  <si>
    <t>2023-06-06 15:11:58</t>
  </si>
  <si>
    <t>2023-06-06 15:01:21</t>
  </si>
  <si>
    <t>c13479</t>
  </si>
  <si>
    <t>Kevin Guevara Mojica</t>
  </si>
  <si>
    <t>Tabla de anuncios</t>
  </si>
  <si>
    <t>Ya tenía en mente qué énfasis agarrar, los otros no me llaman para nada la atención</t>
  </si>
  <si>
    <t>2023-06-06 16:38:32</t>
  </si>
  <si>
    <t>2023-06-06 16:25:54</t>
  </si>
  <si>
    <t>C05775</t>
  </si>
  <si>
    <t>Axel Padilla Fallas</t>
  </si>
  <si>
    <t>Mi experiencia como asistente en redes</t>
  </si>
  <si>
    <t>ITI: Ingeniería de Tecnologías de la Información</t>
  </si>
  <si>
    <t>El segundo semestre del segundo año esta sobrecargado en carga de trabajo</t>
  </si>
  <si>
    <t>2023-06-06 16:38:04</t>
  </si>
  <si>
    <t>2023-06-06 16:27:26</t>
  </si>
  <si>
    <t>C01976</t>
  </si>
  <si>
    <t>Johan Ceciliano Jimenez</t>
  </si>
  <si>
    <t>2023-06-06 17:02:43</t>
  </si>
  <si>
    <t>2023-06-06 16:29:46</t>
  </si>
  <si>
    <t>B90031</t>
  </si>
  <si>
    <t>Fray Alonso Abrahams León</t>
  </si>
  <si>
    <t>No he mejorado: 1</t>
  </si>
  <si>
    <t>El cuarto semestre tiene demasiado trabajo y el valor de créditos no es proporcional</t>
  </si>
  <si>
    <t>2023-06-06 16:44:07</t>
  </si>
  <si>
    <t>2023-06-06 16:36:16</t>
  </si>
  <si>
    <t>c17382</t>
  </si>
  <si>
    <t>Sebastián Sandoval Vásquez</t>
  </si>
  <si>
    <t>2023-06-06 21:41:07</t>
  </si>
  <si>
    <t>2023-06-06 21:35:13</t>
  </si>
  <si>
    <t>B68330</t>
  </si>
  <si>
    <t>Juan Carlos Sequeira Jiménez</t>
  </si>
  <si>
    <t>Solo estuve enterado de la charla introductoria, me parece que fue un repaso breve pero al punto de las caracteristicas de cada uno de los enfasis</t>
  </si>
  <si>
    <t>Me parece que hay aciertos con respecto a los cursos, sin embargo hay aspectos que mejorar, un ejemplo es el curso de ensablador, donde entiendo el motivo por el cual existe el curso, pero creo que se deberia de considerar cambiarlo por algun otro que contemple contenidos más actualizados.</t>
  </si>
  <si>
    <t>2023-06-06 22:55:13</t>
  </si>
  <si>
    <t>2023-06-06 22:51:36</t>
  </si>
  <si>
    <t>C16506</t>
  </si>
  <si>
    <t>Julian Robert Solano</t>
  </si>
  <si>
    <t>No podia coincidir con los horarios, las vi despues de forma virtual</t>
  </si>
  <si>
    <t>2023-06-07 00:33:08</t>
  </si>
  <si>
    <t>2023-06-07 11:29:05</t>
  </si>
  <si>
    <t>2023-06-07 11:17:04</t>
  </si>
  <si>
    <t>C14198</t>
  </si>
  <si>
    <t>Sarah Lewis Esquivel</t>
  </si>
  <si>
    <t>Ya sabia cual enfasis escoger, no tenia tanto tiempo para poder ir.</t>
  </si>
  <si>
    <t>No creo que ninguna fue poco util</t>
  </si>
  <si>
    <t>El segundo semestre del segundo año es demasiado cargado y creo que debería ser evaluado para cambiar . 
También el curso de Progra Paralela y Concurrente es muy cargado, hay tantísimas cosas que hacer que no se puede aprender bien por tratar de hacer todo, es una lastima porque es un curso con materia muy bonita que no se puede apreciar por el estrés de estar haciendo todo a tiempo.</t>
  </si>
  <si>
    <t>2023-06-07 11:24:21</t>
  </si>
  <si>
    <t>2023-06-07 11:26:17</t>
  </si>
  <si>
    <t>C14468</t>
  </si>
  <si>
    <t>Juliana María Martínez Aguilar</t>
  </si>
  <si>
    <t>Choque entre los horarios de las actividades realizadas y cursos.</t>
  </si>
  <si>
    <t>2023-06-07 16:40:59</t>
  </si>
  <si>
    <t>2023-06-07 16:35:14</t>
  </si>
  <si>
    <t>C07483</t>
  </si>
  <si>
    <t>Andrés Esteban Serrano Robles</t>
  </si>
  <si>
    <t>2023-06-07 19:39:11</t>
  </si>
  <si>
    <t>2023-06-07 19:40:07</t>
  </si>
  <si>
    <t>C10913</t>
  </si>
  <si>
    <t>Anthony Barrantes Alfaro</t>
  </si>
  <si>
    <t>2023-06-07 21:46:25</t>
  </si>
  <si>
    <t>2023-06-07 21:43:22</t>
  </si>
  <si>
    <t>c17326</t>
  </si>
  <si>
    <t>Jose Ignacio Sanchez Zeledon</t>
  </si>
  <si>
    <t>Por temas de tiempo</t>
  </si>
  <si>
    <t>2023-06-08 00:10:42</t>
  </si>
  <si>
    <t>2023-06-08 00:04:28</t>
  </si>
  <si>
    <t>C14653</t>
  </si>
  <si>
    <t>Jose Carlos Mena Diaz</t>
  </si>
  <si>
    <t>Eran miércoles y los miércoles no voy a la universidad. Además vivo lejos.</t>
  </si>
  <si>
    <t>El tipo de materia que abarcan</t>
  </si>
  <si>
    <t>No dije que fueran poco útiles, pero sí eran poco cómodas de asistir.</t>
  </si>
  <si>
    <t>Algún curso del cuarto ciclo deberian reducirlo (preferiblemente paralela) o aumentar sus créditos, porque requiere el triple de tiempo que otros cursos con misma cantidad de créditos.</t>
  </si>
  <si>
    <t>2023-06-08 16:42:09</t>
  </si>
  <si>
    <t>2023-06-08 18:56:20</t>
  </si>
  <si>
    <t>2023-06-08 18:54:39</t>
  </si>
  <si>
    <t>Se me pasaron las fechas</t>
  </si>
  <si>
    <t>2023-06-09 07:34:20</t>
  </si>
  <si>
    <t>2023-06-09 07:31:41</t>
  </si>
  <si>
    <t>b88144</t>
  </si>
  <si>
    <t>Daniel Van der Laat Velez</t>
  </si>
  <si>
    <t>2023-06-09 10:05:46</t>
  </si>
  <si>
    <t>2023-06-09 09:58:21</t>
  </si>
  <si>
    <t>C03953</t>
  </si>
  <si>
    <t>Elías Josué Jiménez Alemán</t>
  </si>
  <si>
    <t>Quizá como tratar de estandarizar la materia enseñada por los distintos cursos. Siento que hay como desniveles entre los grupos de un mismo curso y que puede causar que algunas personas lleguen mejor preparados a cursos posteriores que otras.</t>
  </si>
  <si>
    <t>2023-06-10 16:14:45</t>
  </si>
  <si>
    <t>2023-06-11 21:25:26</t>
  </si>
  <si>
    <t>2023-06-11 21:22:23</t>
  </si>
  <si>
    <t>B90082</t>
  </si>
  <si>
    <t>Randy Jossué Agüero Bermúdez</t>
  </si>
  <si>
    <t>Porque no podía ir a las actividades</t>
  </si>
  <si>
    <t>2023-06-11 22:48:11</t>
  </si>
  <si>
    <t>2023-06-11 22:35:40</t>
  </si>
  <si>
    <t>C15114</t>
  </si>
  <si>
    <t>Jose Antonio Mora Monge</t>
  </si>
  <si>
    <t>Se necesita más participación de estudiantes avanzados en la carrera, que cuenten sus experiencias y las razones de escogencia del énfasis.</t>
  </si>
  <si>
    <t>Los cursos de cálculo de la carrera necesitan una SERIA restructuración, especialmente debido a que en CC después se le pide a lo estudiantes que cursen Ecuaciones Diferenciales de la escuela de matemática con pésimas bases. Los dos semestres del segundo año podrían estar mejor estructurados en términos de carga académica y tiempo requerido.</t>
  </si>
  <si>
    <t>2023-06-11 23:06:00</t>
  </si>
  <si>
    <t>2023-06-11 22:55:42</t>
  </si>
  <si>
    <t>C10421</t>
  </si>
  <si>
    <t>Jose Luis Amador Mora</t>
  </si>
  <si>
    <t>Pensar en como sería el día a día de un profesional de tal énfasis</t>
  </si>
  <si>
    <t>2023-06-12 08:32:01</t>
  </si>
  <si>
    <t>2023-06-12 08:27:39</t>
  </si>
  <si>
    <t>C14387</t>
  </si>
  <si>
    <t>Isaac Armando Madrigal Silva</t>
  </si>
  <si>
    <t>2023-06-12 15:12:15</t>
  </si>
  <si>
    <t>2023-06-12 15:08:19</t>
  </si>
  <si>
    <t>C17344</t>
  </si>
  <si>
    <t>Randy Sancho Vásquez</t>
  </si>
  <si>
    <t>Porque ya tenía mi énfasis claro</t>
  </si>
  <si>
    <t>Pláticas familiares que son ingenieros en computación</t>
  </si>
  <si>
    <t>No fueron poco útiles, si lo fueron</t>
  </si>
  <si>
    <t>2023-06-12 16:37:39</t>
  </si>
  <si>
    <t>2023-06-12 16:33:55</t>
  </si>
  <si>
    <t>B65408</t>
  </si>
  <si>
    <t>Ximena Picado Meza</t>
  </si>
  <si>
    <t>Vi los videos en YouTube.</t>
  </si>
  <si>
    <t>2023-06-12 17:27:13</t>
  </si>
  <si>
    <t>2023-06-12 17:23:35</t>
  </si>
  <si>
    <t>C12510</t>
  </si>
  <si>
    <t>Marcelo Delgado Mora</t>
  </si>
  <si>
    <t>Falta de Tiempo</t>
  </si>
  <si>
    <t>2023-06-14 12:31:31</t>
  </si>
  <si>
    <t>2023-06-14 13:30:30</t>
  </si>
  <si>
    <t>2023-06-14 13:22:52</t>
  </si>
  <si>
    <t>C14394</t>
  </si>
  <si>
    <t>Jorge Alejandro Madriz Agüero</t>
  </si>
  <si>
    <t>En lo cursos suelen haber una mitad de profesores buenos y otra mitad malos, o una mitad más fácil y otro más difícil. También es evidente que el nivel que se tiene ahora depende mucho de los profesores que lo formaron a uno. Por lo que no todos están al mismo nivel</t>
  </si>
  <si>
    <t>2023-06-15 14:17:17</t>
  </si>
  <si>
    <t>2023-06-15 14:10:45</t>
  </si>
  <si>
    <t>C14958</t>
  </si>
  <si>
    <t>Estefanía Montero Navarro</t>
  </si>
  <si>
    <t>2023-06-16 00:20:22</t>
  </si>
  <si>
    <t>2023-06-16 00:17:07</t>
  </si>
  <si>
    <t>C10572</t>
  </si>
  <si>
    <t>Fernando Arce Castillo</t>
  </si>
  <si>
    <t>2023-06-16 12:35:35</t>
  </si>
  <si>
    <t>2023-06-16 12:24:16</t>
  </si>
  <si>
    <t>C16105</t>
  </si>
  <si>
    <t>Andrés Quesada González</t>
  </si>
  <si>
    <t>El horario en que se presentaron interrumpía con algunas responsabilidades como estudiante.</t>
  </si>
  <si>
    <t>2023-06-16 14:34:56</t>
  </si>
  <si>
    <t>2023-06-16 14:31:45</t>
  </si>
  <si>
    <t>C13032</t>
  </si>
  <si>
    <t>BRILLY GAMBOA ZAMORA</t>
  </si>
  <si>
    <t>Me parece que si fueron útiles</t>
  </si>
  <si>
    <t>2023-06-17 13:59:19</t>
  </si>
  <si>
    <t>2023-06-17 13:56:28</t>
  </si>
  <si>
    <t>C17353</t>
  </si>
  <si>
    <t>Marvin Lisandro Sandi Calderón</t>
  </si>
  <si>
    <t>No me enteré</t>
  </si>
  <si>
    <t>2023-06-17 14:06:21</t>
  </si>
  <si>
    <t>2023-06-17 14:03:03</t>
  </si>
  <si>
    <t>c15427</t>
  </si>
  <si>
    <t>Marlon Esteban Murillo Quesada</t>
  </si>
  <si>
    <t>II semestre del 1er año</t>
  </si>
  <si>
    <t>Blanco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</si>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</sst>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1"/>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47"/>
  <sheetViews>
    <sheetView zoomScaleNormal="100" workbookViewId="0"/>
  </sheetViews>
  <sheetFormatPr baseColWidth="10" defaultRowHeight="12.75" x14ac:dyDescent="0.35"/>
  <cols>
    <col min="1" max="1024" width="11.46484375"/>
  </cols>
  <sheetData>
    <row r="1" spans="1:8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35">
      <c r="A2">
        <v>335</v>
      </c>
      <c r="B2" t="s">
        <v>87</v>
      </c>
      <c r="C2">
        <v>2</v>
      </c>
      <c r="D2" t="s">
        <v>88</v>
      </c>
      <c r="E2">
        <v>378969402</v>
      </c>
      <c r="F2" t="s">
        <v>89</v>
      </c>
      <c r="G2" t="s">
        <v>87</v>
      </c>
      <c r="H2" t="s">
        <v>90</v>
      </c>
      <c r="I2" t="s">
        <v>91</v>
      </c>
      <c r="J2" t="s">
        <v>92</v>
      </c>
      <c r="K2" t="s">
        <v>93</v>
      </c>
      <c r="L2" t="s">
        <v>92</v>
      </c>
      <c r="M2" t="s">
        <v>92</v>
      </c>
      <c r="N2" t="s">
        <v>92</v>
      </c>
      <c r="O2" t="s">
        <v>92</v>
      </c>
      <c r="Q2" t="s">
        <v>92</v>
      </c>
      <c r="R2" t="s">
        <v>94</v>
      </c>
      <c r="S2" t="s">
        <v>95</v>
      </c>
      <c r="U2" t="s">
        <v>93</v>
      </c>
      <c r="V2" t="s">
        <v>92</v>
      </c>
      <c r="W2" t="s">
        <v>92</v>
      </c>
      <c r="X2" t="s">
        <v>92</v>
      </c>
      <c r="Y2" t="s">
        <v>92</v>
      </c>
      <c r="Z2" t="s">
        <v>92</v>
      </c>
      <c r="AA2" t="s">
        <v>92</v>
      </c>
      <c r="AI2" t="s">
        <v>96</v>
      </c>
      <c r="AJ2" t="s">
        <v>97</v>
      </c>
      <c r="AK2">
        <v>2</v>
      </c>
      <c r="AL2" t="s">
        <v>98</v>
      </c>
      <c r="AM2">
        <v>2</v>
      </c>
      <c r="AN2">
        <v>3</v>
      </c>
      <c r="AO2" t="s">
        <v>99</v>
      </c>
      <c r="AP2" t="s">
        <v>99</v>
      </c>
      <c r="AQ2">
        <v>3</v>
      </c>
      <c r="AR2" t="s">
        <v>99</v>
      </c>
      <c r="AS2">
        <v>2</v>
      </c>
      <c r="AT2" t="s">
        <v>99</v>
      </c>
      <c r="AU2">
        <v>3</v>
      </c>
      <c r="AV2" t="s">
        <v>99</v>
      </c>
      <c r="AW2">
        <v>4</v>
      </c>
      <c r="AX2" t="s">
        <v>99</v>
      </c>
      <c r="AY2" t="s">
        <v>100</v>
      </c>
      <c r="AZ2" t="s">
        <v>99</v>
      </c>
      <c r="BA2" t="s">
        <v>100</v>
      </c>
      <c r="BB2" t="s">
        <v>99</v>
      </c>
      <c r="BC2" t="s">
        <v>100</v>
      </c>
      <c r="BD2" t="s">
        <v>99</v>
      </c>
      <c r="BE2" t="s">
        <v>100</v>
      </c>
      <c r="BF2" t="s">
        <v>99</v>
      </c>
      <c r="BG2" t="s">
        <v>100</v>
      </c>
      <c r="BH2" t="s">
        <v>99</v>
      </c>
      <c r="BI2">
        <v>3</v>
      </c>
      <c r="BJ2">
        <v>3</v>
      </c>
      <c r="BK2">
        <v>3</v>
      </c>
      <c r="BL2">
        <v>3</v>
      </c>
      <c r="BM2">
        <v>3</v>
      </c>
      <c r="BN2">
        <v>3</v>
      </c>
      <c r="BO2">
        <v>3</v>
      </c>
      <c r="BP2" t="s">
        <v>101</v>
      </c>
      <c r="BQ2">
        <v>96.91</v>
      </c>
      <c r="BR2">
        <v>64.489999999999995</v>
      </c>
      <c r="CE2">
        <v>32.42</v>
      </c>
    </row>
    <row r="3" spans="1:87" x14ac:dyDescent="0.35">
      <c r="A3">
        <v>336</v>
      </c>
      <c r="B3" t="s">
        <v>102</v>
      </c>
      <c r="C3">
        <v>2</v>
      </c>
      <c r="D3" t="s">
        <v>88</v>
      </c>
      <c r="E3">
        <v>1002606735</v>
      </c>
      <c r="F3" t="s">
        <v>103</v>
      </c>
      <c r="G3" t="s">
        <v>102</v>
      </c>
      <c r="H3" t="s">
        <v>104</v>
      </c>
      <c r="I3" t="s">
        <v>105</v>
      </c>
      <c r="J3" t="s">
        <v>92</v>
      </c>
      <c r="K3" t="s">
        <v>93</v>
      </c>
      <c r="L3" t="s">
        <v>92</v>
      </c>
      <c r="M3" t="s">
        <v>93</v>
      </c>
      <c r="N3" t="s">
        <v>93</v>
      </c>
      <c r="O3" t="s">
        <v>92</v>
      </c>
      <c r="P3" t="s">
        <v>106</v>
      </c>
      <c r="Q3" t="s">
        <v>93</v>
      </c>
      <c r="S3" t="s">
        <v>107</v>
      </c>
      <c r="T3" t="s">
        <v>108</v>
      </c>
      <c r="U3" t="s">
        <v>92</v>
      </c>
      <c r="V3" t="s">
        <v>92</v>
      </c>
      <c r="W3" t="s">
        <v>92</v>
      </c>
      <c r="X3" t="s">
        <v>92</v>
      </c>
      <c r="Y3" t="s">
        <v>92</v>
      </c>
      <c r="Z3" t="s">
        <v>93</v>
      </c>
      <c r="AA3" t="s">
        <v>92</v>
      </c>
      <c r="AF3" t="s">
        <v>109</v>
      </c>
      <c r="AG3">
        <v>2</v>
      </c>
      <c r="AH3">
        <v>3</v>
      </c>
      <c r="AJ3" t="s">
        <v>110</v>
      </c>
      <c r="AK3" t="s">
        <v>98</v>
      </c>
      <c r="AL3">
        <v>2</v>
      </c>
      <c r="AM3">
        <v>3</v>
      </c>
      <c r="AN3">
        <v>4</v>
      </c>
      <c r="AO3" t="s">
        <v>99</v>
      </c>
      <c r="AP3" t="s">
        <v>100</v>
      </c>
      <c r="AQ3">
        <v>2</v>
      </c>
      <c r="AR3" t="s">
        <v>100</v>
      </c>
      <c r="AS3">
        <v>3</v>
      </c>
      <c r="AT3" t="s">
        <v>100</v>
      </c>
      <c r="AU3">
        <v>4</v>
      </c>
      <c r="AV3" t="s">
        <v>100</v>
      </c>
      <c r="AW3" t="s">
        <v>100</v>
      </c>
      <c r="AX3" t="s">
        <v>100</v>
      </c>
      <c r="AY3" t="s">
        <v>100</v>
      </c>
      <c r="AZ3" t="s">
        <v>100</v>
      </c>
      <c r="BA3">
        <v>4</v>
      </c>
      <c r="BB3">
        <v>4</v>
      </c>
      <c r="BC3">
        <v>3</v>
      </c>
      <c r="BD3">
        <v>3</v>
      </c>
      <c r="BE3">
        <v>2</v>
      </c>
      <c r="BF3">
        <v>2</v>
      </c>
      <c r="BG3" t="s">
        <v>99</v>
      </c>
      <c r="BH3" t="s">
        <v>99</v>
      </c>
      <c r="BI3" t="s">
        <v>111</v>
      </c>
      <c r="BJ3" t="s">
        <v>111</v>
      </c>
      <c r="BK3" t="s">
        <v>111</v>
      </c>
      <c r="BL3" t="s">
        <v>111</v>
      </c>
      <c r="BM3" t="s">
        <v>111</v>
      </c>
      <c r="BN3" t="s">
        <v>111</v>
      </c>
      <c r="BO3" t="s">
        <v>111</v>
      </c>
      <c r="BQ3">
        <v>158.5</v>
      </c>
      <c r="BR3">
        <v>121.61</v>
      </c>
      <c r="CE3">
        <v>36.89</v>
      </c>
    </row>
    <row r="4" spans="1:87" x14ac:dyDescent="0.35">
      <c r="A4">
        <v>337</v>
      </c>
      <c r="C4">
        <v>0</v>
      </c>
      <c r="D4" t="s">
        <v>88</v>
      </c>
      <c r="E4">
        <v>644642502</v>
      </c>
      <c r="F4" t="s">
        <v>112</v>
      </c>
      <c r="G4" t="s">
        <v>112</v>
      </c>
      <c r="J4" t="s">
        <v>113</v>
      </c>
      <c r="K4" t="s">
        <v>113</v>
      </c>
      <c r="L4" t="s">
        <v>113</v>
      </c>
      <c r="M4" t="s">
        <v>113</v>
      </c>
      <c r="N4" t="s">
        <v>113</v>
      </c>
      <c r="O4" t="s">
        <v>113</v>
      </c>
      <c r="Q4" t="s">
        <v>113</v>
      </c>
      <c r="U4" t="s">
        <v>113</v>
      </c>
      <c r="V4" t="s">
        <v>113</v>
      </c>
      <c r="W4" t="s">
        <v>113</v>
      </c>
      <c r="X4" t="s">
        <v>113</v>
      </c>
      <c r="Y4" t="s">
        <v>113</v>
      </c>
      <c r="Z4" t="s">
        <v>113</v>
      </c>
      <c r="AA4" t="s">
        <v>113</v>
      </c>
      <c r="BQ4">
        <v>0</v>
      </c>
    </row>
    <row r="5" spans="1:87" x14ac:dyDescent="0.35">
      <c r="A5">
        <v>338</v>
      </c>
      <c r="B5" t="s">
        <v>114</v>
      </c>
      <c r="C5">
        <v>2</v>
      </c>
      <c r="D5" t="s">
        <v>88</v>
      </c>
      <c r="E5">
        <v>720902186</v>
      </c>
      <c r="F5" t="s">
        <v>115</v>
      </c>
      <c r="G5" t="s">
        <v>114</v>
      </c>
      <c r="H5" t="s">
        <v>116</v>
      </c>
      <c r="I5" t="s">
        <v>117</v>
      </c>
      <c r="J5" t="s">
        <v>93</v>
      </c>
      <c r="K5" t="s">
        <v>92</v>
      </c>
      <c r="L5" t="s">
        <v>92</v>
      </c>
      <c r="M5" t="s">
        <v>92</v>
      </c>
      <c r="N5" t="s">
        <v>93</v>
      </c>
      <c r="O5" t="s">
        <v>93</v>
      </c>
      <c r="Q5" t="s">
        <v>92</v>
      </c>
      <c r="R5" t="s">
        <v>118</v>
      </c>
      <c r="S5" t="s">
        <v>119</v>
      </c>
      <c r="U5" t="s">
        <v>93</v>
      </c>
      <c r="V5" t="s">
        <v>93</v>
      </c>
      <c r="W5" t="s">
        <v>92</v>
      </c>
      <c r="X5" t="s">
        <v>92</v>
      </c>
      <c r="Y5" t="s">
        <v>93</v>
      </c>
      <c r="Z5" t="s">
        <v>92</v>
      </c>
      <c r="AA5" t="s">
        <v>92</v>
      </c>
      <c r="AJ5" t="s">
        <v>97</v>
      </c>
      <c r="AK5">
        <v>2</v>
      </c>
      <c r="AL5">
        <v>3</v>
      </c>
      <c r="AM5">
        <v>4</v>
      </c>
      <c r="AN5" t="s">
        <v>120</v>
      </c>
      <c r="AO5">
        <v>4</v>
      </c>
      <c r="AP5">
        <v>4</v>
      </c>
      <c r="AQ5" t="s">
        <v>99</v>
      </c>
      <c r="AR5" t="s">
        <v>99</v>
      </c>
      <c r="AS5">
        <v>4</v>
      </c>
      <c r="AT5">
        <v>3</v>
      </c>
      <c r="AU5">
        <v>3</v>
      </c>
      <c r="AV5">
        <v>2</v>
      </c>
      <c r="AW5">
        <v>4</v>
      </c>
      <c r="AX5" t="s">
        <v>100</v>
      </c>
      <c r="AY5">
        <v>4</v>
      </c>
      <c r="AZ5">
        <v>4</v>
      </c>
      <c r="BA5" t="s">
        <v>100</v>
      </c>
      <c r="BB5">
        <v>3</v>
      </c>
      <c r="BC5">
        <v>2</v>
      </c>
      <c r="BD5" t="s">
        <v>100</v>
      </c>
      <c r="BE5" t="s">
        <v>100</v>
      </c>
      <c r="BF5" t="s">
        <v>100</v>
      </c>
      <c r="BG5">
        <v>4</v>
      </c>
      <c r="BH5" t="s">
        <v>100</v>
      </c>
      <c r="BI5">
        <v>2</v>
      </c>
      <c r="BJ5" t="s">
        <v>111</v>
      </c>
      <c r="BK5">
        <v>4</v>
      </c>
      <c r="BL5">
        <v>4</v>
      </c>
      <c r="BM5" t="s">
        <v>111</v>
      </c>
      <c r="BN5" t="s">
        <v>111</v>
      </c>
      <c r="BO5" t="s">
        <v>111</v>
      </c>
      <c r="BQ5">
        <v>831.02</v>
      </c>
      <c r="BR5">
        <v>274.10000000000002</v>
      </c>
      <c r="CE5">
        <v>556.91999999999996</v>
      </c>
    </row>
    <row r="6" spans="1:87" x14ac:dyDescent="0.35">
      <c r="A6">
        <v>339</v>
      </c>
      <c r="B6" t="s">
        <v>121</v>
      </c>
      <c r="C6">
        <v>2</v>
      </c>
      <c r="D6" t="s">
        <v>88</v>
      </c>
      <c r="E6">
        <v>1047540952</v>
      </c>
      <c r="F6" t="s">
        <v>122</v>
      </c>
      <c r="G6" t="s">
        <v>121</v>
      </c>
      <c r="H6" t="s">
        <v>123</v>
      </c>
      <c r="I6" t="s">
        <v>124</v>
      </c>
      <c r="J6" t="s">
        <v>93</v>
      </c>
      <c r="K6" t="s">
        <v>92</v>
      </c>
      <c r="L6" t="s">
        <v>93</v>
      </c>
      <c r="M6" t="s">
        <v>92</v>
      </c>
      <c r="N6" t="s">
        <v>92</v>
      </c>
      <c r="O6" t="s">
        <v>93</v>
      </c>
      <c r="Q6" t="s">
        <v>93</v>
      </c>
      <c r="S6" t="s">
        <v>119</v>
      </c>
      <c r="T6" t="s">
        <v>108</v>
      </c>
      <c r="U6" t="s">
        <v>92</v>
      </c>
      <c r="V6" t="s">
        <v>92</v>
      </c>
      <c r="W6" t="s">
        <v>93</v>
      </c>
      <c r="X6" t="s">
        <v>92</v>
      </c>
      <c r="Y6" t="s">
        <v>93</v>
      </c>
      <c r="Z6" t="s">
        <v>93</v>
      </c>
      <c r="AA6" t="s">
        <v>92</v>
      </c>
      <c r="AF6">
        <v>4</v>
      </c>
      <c r="AG6">
        <v>2</v>
      </c>
      <c r="AH6" t="s">
        <v>125</v>
      </c>
      <c r="AJ6" t="s">
        <v>97</v>
      </c>
      <c r="AK6">
        <v>2</v>
      </c>
      <c r="AL6">
        <v>3</v>
      </c>
      <c r="AM6">
        <v>3</v>
      </c>
      <c r="AN6">
        <v>4</v>
      </c>
      <c r="AO6">
        <v>4</v>
      </c>
      <c r="AP6">
        <v>4</v>
      </c>
      <c r="AQ6">
        <v>3</v>
      </c>
      <c r="AR6">
        <v>4</v>
      </c>
      <c r="AS6">
        <v>2</v>
      </c>
      <c r="AT6">
        <v>2</v>
      </c>
      <c r="AU6">
        <v>3</v>
      </c>
      <c r="AV6">
        <v>3</v>
      </c>
      <c r="AW6">
        <v>4</v>
      </c>
      <c r="AX6" t="s">
        <v>100</v>
      </c>
      <c r="AY6">
        <v>4</v>
      </c>
      <c r="AZ6" t="s">
        <v>100</v>
      </c>
      <c r="BA6" t="s">
        <v>100</v>
      </c>
      <c r="BB6" t="s">
        <v>100</v>
      </c>
      <c r="BC6">
        <v>4</v>
      </c>
      <c r="BD6">
        <v>4</v>
      </c>
      <c r="BE6">
        <v>2</v>
      </c>
      <c r="BF6">
        <v>3</v>
      </c>
      <c r="BG6">
        <v>3</v>
      </c>
      <c r="BH6">
        <v>2</v>
      </c>
      <c r="BI6">
        <v>3</v>
      </c>
      <c r="BJ6">
        <v>3</v>
      </c>
      <c r="BK6">
        <v>2</v>
      </c>
      <c r="BL6">
        <v>3</v>
      </c>
      <c r="BM6">
        <v>4</v>
      </c>
      <c r="BN6">
        <v>4</v>
      </c>
      <c r="BO6">
        <v>4</v>
      </c>
      <c r="BQ6">
        <v>231.56</v>
      </c>
      <c r="BR6">
        <v>94.66</v>
      </c>
      <c r="CE6">
        <v>136.9</v>
      </c>
    </row>
    <row r="7" spans="1:87" x14ac:dyDescent="0.35">
      <c r="A7">
        <v>340</v>
      </c>
      <c r="B7" t="s">
        <v>126</v>
      </c>
      <c r="C7">
        <v>2</v>
      </c>
      <c r="D7" t="s">
        <v>88</v>
      </c>
      <c r="E7">
        <v>917163635</v>
      </c>
      <c r="F7" t="s">
        <v>127</v>
      </c>
      <c r="G7" t="s">
        <v>126</v>
      </c>
      <c r="H7" t="s">
        <v>128</v>
      </c>
      <c r="I7" t="s">
        <v>129</v>
      </c>
      <c r="J7" t="s">
        <v>93</v>
      </c>
      <c r="K7" t="s">
        <v>92</v>
      </c>
      <c r="L7" t="s">
        <v>92</v>
      </c>
      <c r="M7" t="s">
        <v>92</v>
      </c>
      <c r="N7" t="s">
        <v>92</v>
      </c>
      <c r="O7" t="s">
        <v>92</v>
      </c>
      <c r="Q7" t="s">
        <v>92</v>
      </c>
      <c r="R7" t="s">
        <v>130</v>
      </c>
      <c r="S7" t="s">
        <v>95</v>
      </c>
      <c r="U7" t="s">
        <v>92</v>
      </c>
      <c r="V7" t="s">
        <v>93</v>
      </c>
      <c r="W7" t="s">
        <v>92</v>
      </c>
      <c r="X7" t="s">
        <v>92</v>
      </c>
      <c r="Y7" t="s">
        <v>93</v>
      </c>
      <c r="Z7" t="s">
        <v>92</v>
      </c>
      <c r="AA7" t="s">
        <v>92</v>
      </c>
      <c r="AB7" t="s">
        <v>131</v>
      </c>
      <c r="AI7" t="s">
        <v>132</v>
      </c>
      <c r="AJ7" t="s">
        <v>110</v>
      </c>
      <c r="AK7">
        <v>3</v>
      </c>
      <c r="AL7">
        <v>4</v>
      </c>
      <c r="AM7" t="s">
        <v>120</v>
      </c>
      <c r="AN7">
        <v>2</v>
      </c>
      <c r="AO7">
        <v>4</v>
      </c>
      <c r="AP7">
        <v>4</v>
      </c>
      <c r="AQ7">
        <v>4</v>
      </c>
      <c r="AR7" t="s">
        <v>100</v>
      </c>
      <c r="AS7">
        <v>3</v>
      </c>
      <c r="AT7">
        <v>2</v>
      </c>
      <c r="AU7">
        <v>4</v>
      </c>
      <c r="AV7" t="s">
        <v>100</v>
      </c>
      <c r="AW7" t="s">
        <v>100</v>
      </c>
      <c r="AX7" t="s">
        <v>100</v>
      </c>
      <c r="AY7" t="s">
        <v>100</v>
      </c>
      <c r="AZ7" t="s">
        <v>100</v>
      </c>
      <c r="BA7">
        <v>4</v>
      </c>
      <c r="BB7" t="s">
        <v>99</v>
      </c>
      <c r="BC7">
        <v>4</v>
      </c>
      <c r="BD7">
        <v>2</v>
      </c>
      <c r="BE7">
        <v>3</v>
      </c>
      <c r="BF7">
        <v>3</v>
      </c>
      <c r="BG7">
        <v>4</v>
      </c>
      <c r="BH7" t="s">
        <v>100</v>
      </c>
      <c r="BI7" t="s">
        <v>111</v>
      </c>
      <c r="BJ7" t="s">
        <v>111</v>
      </c>
      <c r="BK7" t="s">
        <v>111</v>
      </c>
      <c r="BL7" t="s">
        <v>111</v>
      </c>
      <c r="BM7" t="s">
        <v>111</v>
      </c>
      <c r="BN7" t="s">
        <v>111</v>
      </c>
      <c r="BO7" t="s">
        <v>111</v>
      </c>
      <c r="BQ7">
        <v>1644.75</v>
      </c>
      <c r="BR7">
        <v>1306.21</v>
      </c>
      <c r="CE7">
        <v>338.54</v>
      </c>
    </row>
    <row r="8" spans="1:87" x14ac:dyDescent="0.35">
      <c r="A8">
        <v>341</v>
      </c>
      <c r="C8">
        <v>0</v>
      </c>
      <c r="D8" t="s">
        <v>88</v>
      </c>
      <c r="E8">
        <v>1460154388</v>
      </c>
      <c r="F8" t="s">
        <v>133</v>
      </c>
      <c r="G8" t="s">
        <v>133</v>
      </c>
      <c r="J8" t="s">
        <v>113</v>
      </c>
      <c r="K8" t="s">
        <v>113</v>
      </c>
      <c r="L8" t="s">
        <v>113</v>
      </c>
      <c r="M8" t="s">
        <v>113</v>
      </c>
      <c r="N8" t="s">
        <v>113</v>
      </c>
      <c r="O8" t="s">
        <v>113</v>
      </c>
      <c r="Q8" t="s">
        <v>113</v>
      </c>
      <c r="U8" t="s">
        <v>113</v>
      </c>
      <c r="V8" t="s">
        <v>113</v>
      </c>
      <c r="W8" t="s">
        <v>113</v>
      </c>
      <c r="X8" t="s">
        <v>113</v>
      </c>
      <c r="Y8" t="s">
        <v>113</v>
      </c>
      <c r="Z8" t="s">
        <v>113</v>
      </c>
      <c r="AA8" t="s">
        <v>113</v>
      </c>
      <c r="BQ8">
        <v>0</v>
      </c>
    </row>
    <row r="9" spans="1:87" x14ac:dyDescent="0.35">
      <c r="A9">
        <v>342</v>
      </c>
      <c r="B9" t="s">
        <v>134</v>
      </c>
      <c r="C9">
        <v>2</v>
      </c>
      <c r="D9" t="s">
        <v>88</v>
      </c>
      <c r="E9">
        <v>598318479</v>
      </c>
      <c r="F9" t="s">
        <v>135</v>
      </c>
      <c r="G9" t="s">
        <v>134</v>
      </c>
      <c r="H9" t="s">
        <v>136</v>
      </c>
      <c r="I9" t="s">
        <v>137</v>
      </c>
      <c r="J9" t="s">
        <v>93</v>
      </c>
      <c r="K9" t="s">
        <v>92</v>
      </c>
      <c r="L9" t="s">
        <v>93</v>
      </c>
      <c r="M9" t="s">
        <v>92</v>
      </c>
      <c r="N9" t="s">
        <v>93</v>
      </c>
      <c r="O9" t="s">
        <v>93</v>
      </c>
      <c r="Q9" t="s">
        <v>93</v>
      </c>
      <c r="S9" t="s">
        <v>119</v>
      </c>
      <c r="T9" t="s">
        <v>108</v>
      </c>
      <c r="U9" t="s">
        <v>93</v>
      </c>
      <c r="V9" t="s">
        <v>92</v>
      </c>
      <c r="W9" t="s">
        <v>92</v>
      </c>
      <c r="X9" t="s">
        <v>92</v>
      </c>
      <c r="Y9" t="s">
        <v>92</v>
      </c>
      <c r="Z9" t="s">
        <v>93</v>
      </c>
      <c r="AA9" t="s">
        <v>93</v>
      </c>
      <c r="AF9">
        <v>4</v>
      </c>
      <c r="AG9" t="s">
        <v>138</v>
      </c>
      <c r="AH9" t="s">
        <v>138</v>
      </c>
      <c r="AJ9" t="s">
        <v>97</v>
      </c>
      <c r="AK9">
        <v>4</v>
      </c>
      <c r="AL9">
        <v>3</v>
      </c>
      <c r="AM9" t="s">
        <v>120</v>
      </c>
      <c r="AN9" t="s">
        <v>120</v>
      </c>
      <c r="AO9">
        <v>4</v>
      </c>
      <c r="AP9">
        <v>4</v>
      </c>
      <c r="AQ9">
        <v>2</v>
      </c>
      <c r="AR9">
        <v>2</v>
      </c>
      <c r="AS9">
        <v>3</v>
      </c>
      <c r="AT9">
        <v>3</v>
      </c>
      <c r="AU9">
        <v>4</v>
      </c>
      <c r="AV9" t="s">
        <v>100</v>
      </c>
      <c r="AW9">
        <v>4</v>
      </c>
      <c r="AX9">
        <v>4</v>
      </c>
      <c r="AY9">
        <v>4</v>
      </c>
      <c r="AZ9">
        <v>4</v>
      </c>
      <c r="BA9">
        <v>2</v>
      </c>
      <c r="BB9">
        <v>3</v>
      </c>
      <c r="BC9">
        <v>3</v>
      </c>
      <c r="BD9" t="s">
        <v>100</v>
      </c>
      <c r="BE9">
        <v>2</v>
      </c>
      <c r="BF9">
        <v>3</v>
      </c>
      <c r="BG9">
        <v>3</v>
      </c>
      <c r="BH9">
        <v>3</v>
      </c>
      <c r="BI9">
        <v>4</v>
      </c>
      <c r="BJ9">
        <v>4</v>
      </c>
      <c r="BK9">
        <v>3</v>
      </c>
      <c r="BL9" t="s">
        <v>111</v>
      </c>
      <c r="BM9">
        <v>3</v>
      </c>
      <c r="BN9">
        <v>4</v>
      </c>
      <c r="BO9">
        <v>3</v>
      </c>
      <c r="BQ9">
        <v>228.1</v>
      </c>
      <c r="BR9">
        <v>82.19</v>
      </c>
      <c r="CE9">
        <v>145.91</v>
      </c>
    </row>
    <row r="10" spans="1:87" x14ac:dyDescent="0.35">
      <c r="A10">
        <v>343</v>
      </c>
      <c r="B10" t="s">
        <v>139</v>
      </c>
      <c r="C10">
        <v>2</v>
      </c>
      <c r="D10" t="s">
        <v>88</v>
      </c>
      <c r="E10">
        <v>26500730</v>
      </c>
      <c r="F10" t="s">
        <v>140</v>
      </c>
      <c r="G10" t="s">
        <v>139</v>
      </c>
      <c r="H10" t="s">
        <v>141</v>
      </c>
      <c r="I10" t="s">
        <v>142</v>
      </c>
      <c r="J10" t="s">
        <v>93</v>
      </c>
      <c r="K10" t="s">
        <v>92</v>
      </c>
      <c r="L10" t="s">
        <v>92</v>
      </c>
      <c r="M10" t="s">
        <v>92</v>
      </c>
      <c r="N10" t="s">
        <v>92</v>
      </c>
      <c r="O10" t="s">
        <v>92</v>
      </c>
      <c r="Q10" t="s">
        <v>92</v>
      </c>
      <c r="R10" t="s">
        <v>143</v>
      </c>
      <c r="S10" t="s">
        <v>119</v>
      </c>
      <c r="U10" t="s">
        <v>93</v>
      </c>
      <c r="V10" t="s">
        <v>93</v>
      </c>
      <c r="W10" t="s">
        <v>92</v>
      </c>
      <c r="X10" t="s">
        <v>92</v>
      </c>
      <c r="Y10" t="s">
        <v>93</v>
      </c>
      <c r="Z10" t="s">
        <v>93</v>
      </c>
      <c r="AA10" t="s">
        <v>92</v>
      </c>
      <c r="AI10" t="s">
        <v>144</v>
      </c>
      <c r="AJ10" t="s">
        <v>97</v>
      </c>
      <c r="AK10" t="s">
        <v>98</v>
      </c>
      <c r="AL10" t="s">
        <v>98</v>
      </c>
      <c r="AM10">
        <v>3</v>
      </c>
      <c r="AN10" t="s">
        <v>120</v>
      </c>
      <c r="AO10" t="s">
        <v>100</v>
      </c>
      <c r="AP10" t="s">
        <v>100</v>
      </c>
      <c r="AQ10">
        <v>4</v>
      </c>
      <c r="AR10">
        <v>3</v>
      </c>
      <c r="AS10">
        <v>3</v>
      </c>
      <c r="AT10">
        <v>3</v>
      </c>
      <c r="AU10" t="s">
        <v>100</v>
      </c>
      <c r="AV10">
        <v>2</v>
      </c>
      <c r="AW10" t="s">
        <v>100</v>
      </c>
      <c r="AX10" t="s">
        <v>100</v>
      </c>
      <c r="AY10">
        <v>4</v>
      </c>
      <c r="AZ10">
        <v>4</v>
      </c>
      <c r="BA10" t="s">
        <v>100</v>
      </c>
      <c r="BB10" t="s">
        <v>100</v>
      </c>
      <c r="BC10" t="s">
        <v>100</v>
      </c>
      <c r="BD10">
        <v>4</v>
      </c>
      <c r="BE10" t="s">
        <v>100</v>
      </c>
      <c r="BF10">
        <v>4</v>
      </c>
      <c r="BG10" t="s">
        <v>100</v>
      </c>
      <c r="BH10" t="s">
        <v>100</v>
      </c>
      <c r="BI10" t="s">
        <v>111</v>
      </c>
      <c r="BJ10">
        <v>4</v>
      </c>
      <c r="BK10">
        <v>2</v>
      </c>
      <c r="BL10" t="s">
        <v>111</v>
      </c>
      <c r="BM10" t="s">
        <v>111</v>
      </c>
      <c r="BN10" t="s">
        <v>111</v>
      </c>
      <c r="BO10">
        <v>4</v>
      </c>
      <c r="BP10" t="s">
        <v>145</v>
      </c>
      <c r="BQ10">
        <v>920.13</v>
      </c>
      <c r="BR10">
        <v>296.20999999999998</v>
      </c>
      <c r="CE10">
        <v>623.91999999999996</v>
      </c>
    </row>
    <row r="11" spans="1:87" x14ac:dyDescent="0.35">
      <c r="A11">
        <v>344</v>
      </c>
      <c r="B11" t="s">
        <v>146</v>
      </c>
      <c r="C11">
        <v>2</v>
      </c>
      <c r="D11" t="s">
        <v>88</v>
      </c>
      <c r="E11">
        <v>14610216</v>
      </c>
      <c r="F11" t="s">
        <v>147</v>
      </c>
      <c r="G11" t="s">
        <v>146</v>
      </c>
      <c r="H11" t="s">
        <v>148</v>
      </c>
      <c r="I11" t="s">
        <v>149</v>
      </c>
      <c r="J11" t="s">
        <v>93</v>
      </c>
      <c r="K11" t="s">
        <v>92</v>
      </c>
      <c r="L11" t="s">
        <v>92</v>
      </c>
      <c r="M11" t="s">
        <v>92</v>
      </c>
      <c r="N11" t="s">
        <v>93</v>
      </c>
      <c r="O11" t="s">
        <v>92</v>
      </c>
      <c r="Q11" t="s">
        <v>93</v>
      </c>
      <c r="S11" t="s">
        <v>95</v>
      </c>
      <c r="T11" t="s">
        <v>108</v>
      </c>
      <c r="U11" t="s">
        <v>92</v>
      </c>
      <c r="V11" t="s">
        <v>93</v>
      </c>
      <c r="W11" t="s">
        <v>92</v>
      </c>
      <c r="X11" t="s">
        <v>92</v>
      </c>
      <c r="Y11" t="s">
        <v>93</v>
      </c>
      <c r="Z11" t="s">
        <v>93</v>
      </c>
      <c r="AA11" t="s">
        <v>92</v>
      </c>
      <c r="AF11">
        <v>4</v>
      </c>
      <c r="AG11" t="s">
        <v>138</v>
      </c>
      <c r="AH11">
        <v>4</v>
      </c>
      <c r="AJ11" t="s">
        <v>110</v>
      </c>
      <c r="AK11">
        <v>3</v>
      </c>
      <c r="AL11">
        <v>4</v>
      </c>
      <c r="AM11" t="s">
        <v>120</v>
      </c>
      <c r="AN11" t="s">
        <v>120</v>
      </c>
      <c r="AO11">
        <v>4</v>
      </c>
      <c r="AP11">
        <v>4</v>
      </c>
      <c r="AQ11">
        <v>2</v>
      </c>
      <c r="AR11">
        <v>2</v>
      </c>
      <c r="AS11">
        <v>3</v>
      </c>
      <c r="AT11">
        <v>3</v>
      </c>
      <c r="AU11">
        <v>3</v>
      </c>
      <c r="AV11">
        <v>3</v>
      </c>
      <c r="AW11">
        <v>4</v>
      </c>
      <c r="AX11">
        <v>3</v>
      </c>
      <c r="AY11">
        <v>4</v>
      </c>
      <c r="AZ11">
        <v>4</v>
      </c>
      <c r="BA11">
        <v>3</v>
      </c>
      <c r="BB11" t="s">
        <v>100</v>
      </c>
      <c r="BC11">
        <v>3</v>
      </c>
      <c r="BD11">
        <v>4</v>
      </c>
      <c r="BE11">
        <v>4</v>
      </c>
      <c r="BF11">
        <v>4</v>
      </c>
      <c r="BG11">
        <v>4</v>
      </c>
      <c r="BH11" t="s">
        <v>100</v>
      </c>
      <c r="BI11" t="s">
        <v>111</v>
      </c>
      <c r="BJ11" t="s">
        <v>111</v>
      </c>
      <c r="BK11" t="s">
        <v>111</v>
      </c>
      <c r="BL11" t="s">
        <v>111</v>
      </c>
      <c r="BM11" t="s">
        <v>111</v>
      </c>
      <c r="BN11" t="s">
        <v>111</v>
      </c>
      <c r="BO11" t="s">
        <v>111</v>
      </c>
      <c r="BQ11">
        <v>320.23</v>
      </c>
      <c r="BR11">
        <v>146.78</v>
      </c>
      <c r="CE11">
        <v>173.45</v>
      </c>
    </row>
    <row r="12" spans="1:87" x14ac:dyDescent="0.35">
      <c r="A12">
        <v>345</v>
      </c>
      <c r="B12" t="s">
        <v>150</v>
      </c>
      <c r="C12">
        <v>2</v>
      </c>
      <c r="D12" t="s">
        <v>88</v>
      </c>
      <c r="E12">
        <v>2092713986</v>
      </c>
      <c r="F12" t="s">
        <v>151</v>
      </c>
      <c r="G12" t="s">
        <v>150</v>
      </c>
      <c r="H12" t="s">
        <v>152</v>
      </c>
      <c r="I12" t="s">
        <v>153</v>
      </c>
      <c r="J12" t="s">
        <v>93</v>
      </c>
      <c r="K12" t="s">
        <v>92</v>
      </c>
      <c r="L12" t="s">
        <v>92</v>
      </c>
      <c r="M12" t="s">
        <v>92</v>
      </c>
      <c r="N12" t="s">
        <v>92</v>
      </c>
      <c r="O12" t="s">
        <v>93</v>
      </c>
      <c r="Q12" t="s">
        <v>93</v>
      </c>
      <c r="S12" t="s">
        <v>119</v>
      </c>
      <c r="T12" t="s">
        <v>108</v>
      </c>
      <c r="U12" t="s">
        <v>93</v>
      </c>
      <c r="V12" t="s">
        <v>93</v>
      </c>
      <c r="W12" t="s">
        <v>92</v>
      </c>
      <c r="X12" t="s">
        <v>92</v>
      </c>
      <c r="Y12" t="s">
        <v>93</v>
      </c>
      <c r="Z12" t="s">
        <v>92</v>
      </c>
      <c r="AA12" t="s">
        <v>92</v>
      </c>
      <c r="AF12">
        <v>3</v>
      </c>
      <c r="AG12" t="s">
        <v>138</v>
      </c>
      <c r="AH12">
        <v>3</v>
      </c>
      <c r="AI12" t="s">
        <v>154</v>
      </c>
      <c r="AJ12" t="s">
        <v>97</v>
      </c>
      <c r="AK12">
        <v>2</v>
      </c>
      <c r="AL12">
        <v>3</v>
      </c>
      <c r="AM12" t="s">
        <v>120</v>
      </c>
      <c r="AN12" t="s">
        <v>120</v>
      </c>
      <c r="AO12">
        <v>4</v>
      </c>
      <c r="AP12">
        <v>4</v>
      </c>
      <c r="AQ12">
        <v>3</v>
      </c>
      <c r="AR12">
        <v>3</v>
      </c>
      <c r="AS12" t="s">
        <v>100</v>
      </c>
      <c r="AT12" t="s">
        <v>100</v>
      </c>
      <c r="AU12">
        <v>4</v>
      </c>
      <c r="AV12" t="s">
        <v>100</v>
      </c>
      <c r="AW12">
        <v>4</v>
      </c>
      <c r="AX12">
        <v>3</v>
      </c>
      <c r="AY12">
        <v>3</v>
      </c>
      <c r="AZ12">
        <v>3</v>
      </c>
      <c r="BA12" t="s">
        <v>100</v>
      </c>
      <c r="BB12">
        <v>3</v>
      </c>
      <c r="BC12">
        <v>4</v>
      </c>
      <c r="BD12" t="s">
        <v>100</v>
      </c>
      <c r="BE12">
        <v>4</v>
      </c>
      <c r="BF12">
        <v>4</v>
      </c>
      <c r="BG12">
        <v>2</v>
      </c>
      <c r="BH12" t="s">
        <v>99</v>
      </c>
      <c r="BI12" t="s">
        <v>111</v>
      </c>
      <c r="BJ12" t="s">
        <v>111</v>
      </c>
      <c r="BK12" t="s">
        <v>111</v>
      </c>
      <c r="BL12" t="s">
        <v>111</v>
      </c>
      <c r="BM12">
        <v>4</v>
      </c>
      <c r="BN12" t="s">
        <v>111</v>
      </c>
      <c r="BO12">
        <v>4</v>
      </c>
      <c r="BP12" t="s">
        <v>155</v>
      </c>
      <c r="BQ12">
        <v>703.44</v>
      </c>
      <c r="BR12">
        <v>201.12</v>
      </c>
      <c r="CE12">
        <v>502.32</v>
      </c>
    </row>
    <row r="13" spans="1:87" x14ac:dyDescent="0.35">
      <c r="A13">
        <v>346</v>
      </c>
      <c r="B13" t="s">
        <v>156</v>
      </c>
      <c r="C13">
        <v>2</v>
      </c>
      <c r="D13" t="s">
        <v>88</v>
      </c>
      <c r="E13">
        <v>323647150</v>
      </c>
      <c r="F13" t="s">
        <v>157</v>
      </c>
      <c r="G13" t="s">
        <v>156</v>
      </c>
      <c r="H13" t="s">
        <v>158</v>
      </c>
      <c r="I13" t="s">
        <v>159</v>
      </c>
      <c r="J13" t="s">
        <v>93</v>
      </c>
      <c r="K13" t="s">
        <v>92</v>
      </c>
      <c r="L13" t="s">
        <v>93</v>
      </c>
      <c r="M13" t="s">
        <v>92</v>
      </c>
      <c r="N13" t="s">
        <v>93</v>
      </c>
      <c r="O13" t="s">
        <v>93</v>
      </c>
      <c r="Q13" t="s">
        <v>92</v>
      </c>
      <c r="R13" t="s">
        <v>160</v>
      </c>
      <c r="S13" t="s">
        <v>95</v>
      </c>
      <c r="U13" t="s">
        <v>93</v>
      </c>
      <c r="V13" t="s">
        <v>93</v>
      </c>
      <c r="W13" t="s">
        <v>92</v>
      </c>
      <c r="X13" t="s">
        <v>92</v>
      </c>
      <c r="Y13" t="s">
        <v>93</v>
      </c>
      <c r="Z13" t="s">
        <v>92</v>
      </c>
      <c r="AA13" t="s">
        <v>92</v>
      </c>
      <c r="AI13" t="s">
        <v>161</v>
      </c>
      <c r="AJ13" t="s">
        <v>97</v>
      </c>
      <c r="AK13" t="s">
        <v>98</v>
      </c>
      <c r="AL13">
        <v>2</v>
      </c>
      <c r="AM13">
        <v>3</v>
      </c>
      <c r="AN13" t="s">
        <v>120</v>
      </c>
      <c r="AO13">
        <v>4</v>
      </c>
      <c r="AP13">
        <v>4</v>
      </c>
      <c r="AQ13">
        <v>3</v>
      </c>
      <c r="AR13">
        <v>2</v>
      </c>
      <c r="AS13" t="s">
        <v>100</v>
      </c>
      <c r="AT13" t="s">
        <v>100</v>
      </c>
      <c r="AU13">
        <v>3</v>
      </c>
      <c r="AV13">
        <v>3</v>
      </c>
      <c r="AW13">
        <v>4</v>
      </c>
      <c r="AX13">
        <v>4</v>
      </c>
      <c r="AY13">
        <v>4</v>
      </c>
      <c r="AZ13">
        <v>4</v>
      </c>
      <c r="BA13">
        <v>4</v>
      </c>
      <c r="BB13">
        <v>4</v>
      </c>
      <c r="BC13">
        <v>3</v>
      </c>
      <c r="BD13">
        <v>2</v>
      </c>
      <c r="BE13">
        <v>4</v>
      </c>
      <c r="BF13">
        <v>3</v>
      </c>
      <c r="BG13">
        <v>3</v>
      </c>
      <c r="BH13" t="s">
        <v>100</v>
      </c>
      <c r="BI13">
        <v>4</v>
      </c>
      <c r="BJ13" t="s">
        <v>111</v>
      </c>
      <c r="BK13">
        <v>4</v>
      </c>
      <c r="BL13" t="s">
        <v>111</v>
      </c>
      <c r="BM13">
        <v>4</v>
      </c>
      <c r="BN13" t="s">
        <v>111</v>
      </c>
      <c r="BO13" t="s">
        <v>111</v>
      </c>
      <c r="BQ13">
        <v>581.88</v>
      </c>
      <c r="BR13">
        <v>238.37</v>
      </c>
      <c r="CE13">
        <v>343.51</v>
      </c>
    </row>
    <row r="14" spans="1:87" x14ac:dyDescent="0.35">
      <c r="A14">
        <v>347</v>
      </c>
      <c r="B14" t="s">
        <v>162</v>
      </c>
      <c r="C14">
        <v>2</v>
      </c>
      <c r="D14" t="s">
        <v>88</v>
      </c>
      <c r="E14">
        <v>1450189715</v>
      </c>
      <c r="F14" t="s">
        <v>163</v>
      </c>
      <c r="G14" t="s">
        <v>162</v>
      </c>
      <c r="H14" t="s">
        <v>164</v>
      </c>
      <c r="I14" t="s">
        <v>165</v>
      </c>
      <c r="J14" t="s">
        <v>93</v>
      </c>
      <c r="K14" t="s">
        <v>92</v>
      </c>
      <c r="L14" t="s">
        <v>92</v>
      </c>
      <c r="M14" t="s">
        <v>92</v>
      </c>
      <c r="N14" t="s">
        <v>93</v>
      </c>
      <c r="O14" t="s">
        <v>93</v>
      </c>
      <c r="P14" t="s">
        <v>166</v>
      </c>
      <c r="Q14" t="s">
        <v>92</v>
      </c>
      <c r="R14" t="s">
        <v>167</v>
      </c>
      <c r="S14" t="s">
        <v>95</v>
      </c>
      <c r="U14" t="s">
        <v>93</v>
      </c>
      <c r="V14" t="s">
        <v>93</v>
      </c>
      <c r="W14" t="s">
        <v>92</v>
      </c>
      <c r="X14" t="s">
        <v>93</v>
      </c>
      <c r="Y14" t="s">
        <v>93</v>
      </c>
      <c r="Z14" t="s">
        <v>93</v>
      </c>
      <c r="AA14" t="s">
        <v>92</v>
      </c>
      <c r="AJ14" t="s">
        <v>110</v>
      </c>
      <c r="AK14">
        <v>3</v>
      </c>
      <c r="AL14">
        <v>3</v>
      </c>
      <c r="AM14">
        <v>2</v>
      </c>
      <c r="AN14" t="s">
        <v>120</v>
      </c>
      <c r="AO14">
        <v>4</v>
      </c>
      <c r="AP14" t="s">
        <v>99</v>
      </c>
      <c r="AQ14">
        <v>2</v>
      </c>
      <c r="AR14" t="s">
        <v>99</v>
      </c>
      <c r="AS14">
        <v>3</v>
      </c>
      <c r="AT14">
        <v>2</v>
      </c>
      <c r="AU14">
        <v>3</v>
      </c>
      <c r="AV14">
        <v>2</v>
      </c>
      <c r="AW14">
        <v>4</v>
      </c>
      <c r="AX14" t="s">
        <v>100</v>
      </c>
      <c r="AY14">
        <v>4</v>
      </c>
      <c r="AZ14">
        <v>3</v>
      </c>
      <c r="BA14">
        <v>4</v>
      </c>
      <c r="BB14">
        <v>3</v>
      </c>
      <c r="BC14">
        <v>3</v>
      </c>
      <c r="BD14">
        <v>4</v>
      </c>
      <c r="BE14">
        <v>3</v>
      </c>
      <c r="BF14">
        <v>3</v>
      </c>
      <c r="BG14">
        <v>3</v>
      </c>
      <c r="BH14" t="s">
        <v>100</v>
      </c>
      <c r="BI14">
        <v>4</v>
      </c>
      <c r="BJ14">
        <v>4</v>
      </c>
      <c r="BK14" t="s">
        <v>111</v>
      </c>
      <c r="BL14" t="s">
        <v>111</v>
      </c>
      <c r="BM14">
        <v>4</v>
      </c>
      <c r="BN14">
        <v>3</v>
      </c>
      <c r="BO14">
        <v>4</v>
      </c>
      <c r="BQ14">
        <v>531.02</v>
      </c>
      <c r="BR14">
        <v>297.43</v>
      </c>
      <c r="CE14">
        <v>233.59</v>
      </c>
    </row>
    <row r="15" spans="1:87" x14ac:dyDescent="0.35">
      <c r="A15">
        <v>348</v>
      </c>
      <c r="B15" t="s">
        <v>168</v>
      </c>
      <c r="C15">
        <v>2</v>
      </c>
      <c r="D15" t="s">
        <v>88</v>
      </c>
      <c r="E15">
        <v>1402143858</v>
      </c>
      <c r="F15" t="s">
        <v>169</v>
      </c>
      <c r="G15" t="s">
        <v>168</v>
      </c>
      <c r="H15" t="s">
        <v>170</v>
      </c>
      <c r="I15" t="s">
        <v>171</v>
      </c>
      <c r="J15" t="s">
        <v>93</v>
      </c>
      <c r="K15" t="s">
        <v>92</v>
      </c>
      <c r="L15" t="s">
        <v>92</v>
      </c>
      <c r="M15" t="s">
        <v>92</v>
      </c>
      <c r="N15" t="s">
        <v>92</v>
      </c>
      <c r="O15" t="s">
        <v>92</v>
      </c>
      <c r="Q15" t="s">
        <v>93</v>
      </c>
      <c r="S15" t="s">
        <v>107</v>
      </c>
      <c r="T15" t="s">
        <v>108</v>
      </c>
      <c r="U15" t="s">
        <v>93</v>
      </c>
      <c r="V15" t="s">
        <v>92</v>
      </c>
      <c r="W15" t="s">
        <v>92</v>
      </c>
      <c r="X15" t="s">
        <v>92</v>
      </c>
      <c r="Y15" t="s">
        <v>93</v>
      </c>
      <c r="Z15" t="s">
        <v>92</v>
      </c>
      <c r="AA15" t="s">
        <v>92</v>
      </c>
      <c r="AB15" t="s">
        <v>172</v>
      </c>
      <c r="AF15" t="s">
        <v>125</v>
      </c>
      <c r="AG15" t="s">
        <v>138</v>
      </c>
      <c r="AH15" t="s">
        <v>138</v>
      </c>
      <c r="AJ15" t="s">
        <v>173</v>
      </c>
      <c r="AK15">
        <v>2</v>
      </c>
      <c r="AL15">
        <v>2</v>
      </c>
      <c r="AM15">
        <v>3</v>
      </c>
      <c r="AN15" t="s">
        <v>120</v>
      </c>
      <c r="AO15" t="s">
        <v>100</v>
      </c>
      <c r="AP15" t="s">
        <v>100</v>
      </c>
      <c r="AQ15" t="s">
        <v>100</v>
      </c>
      <c r="AR15" t="s">
        <v>100</v>
      </c>
      <c r="AS15">
        <v>3</v>
      </c>
      <c r="AT15">
        <v>3</v>
      </c>
      <c r="AU15">
        <v>3</v>
      </c>
      <c r="AV15">
        <v>4</v>
      </c>
      <c r="AW15" t="s">
        <v>100</v>
      </c>
      <c r="AX15" t="s">
        <v>100</v>
      </c>
      <c r="AY15">
        <v>3</v>
      </c>
      <c r="AZ15">
        <v>3</v>
      </c>
      <c r="BA15" t="s">
        <v>100</v>
      </c>
      <c r="BB15" t="s">
        <v>99</v>
      </c>
      <c r="BC15" t="s">
        <v>100</v>
      </c>
      <c r="BD15" t="s">
        <v>100</v>
      </c>
      <c r="BE15" t="s">
        <v>100</v>
      </c>
      <c r="BF15" t="s">
        <v>100</v>
      </c>
      <c r="BG15" t="s">
        <v>100</v>
      </c>
      <c r="BH15" t="s">
        <v>100</v>
      </c>
      <c r="BI15">
        <v>3</v>
      </c>
      <c r="BJ15" t="s">
        <v>111</v>
      </c>
      <c r="BK15">
        <v>4</v>
      </c>
      <c r="BL15" t="s">
        <v>111</v>
      </c>
      <c r="BM15">
        <v>3</v>
      </c>
      <c r="BN15">
        <v>3</v>
      </c>
      <c r="BO15">
        <v>4</v>
      </c>
      <c r="BP15" t="s">
        <v>174</v>
      </c>
      <c r="BQ15">
        <v>757.05</v>
      </c>
      <c r="BR15">
        <v>390.94</v>
      </c>
      <c r="CE15">
        <v>366.11</v>
      </c>
    </row>
    <row r="16" spans="1:87" x14ac:dyDescent="0.35">
      <c r="A16">
        <v>349</v>
      </c>
      <c r="B16" t="s">
        <v>175</v>
      </c>
      <c r="C16">
        <v>2</v>
      </c>
      <c r="D16" t="s">
        <v>88</v>
      </c>
      <c r="E16">
        <v>1001617587</v>
      </c>
      <c r="F16" t="s">
        <v>176</v>
      </c>
      <c r="G16" t="s">
        <v>175</v>
      </c>
      <c r="H16" t="s">
        <v>177</v>
      </c>
      <c r="I16" t="s">
        <v>178</v>
      </c>
      <c r="J16" t="s">
        <v>93</v>
      </c>
      <c r="K16" t="s">
        <v>92</v>
      </c>
      <c r="L16" t="s">
        <v>92</v>
      </c>
      <c r="M16" t="s">
        <v>92</v>
      </c>
      <c r="N16" t="s">
        <v>92</v>
      </c>
      <c r="O16" t="s">
        <v>92</v>
      </c>
      <c r="Q16" t="s">
        <v>93</v>
      </c>
      <c r="S16" t="s">
        <v>119</v>
      </c>
      <c r="T16" t="s">
        <v>93</v>
      </c>
      <c r="U16" t="s">
        <v>93</v>
      </c>
      <c r="V16" t="s">
        <v>93</v>
      </c>
      <c r="W16" t="s">
        <v>93</v>
      </c>
      <c r="X16" t="s">
        <v>92</v>
      </c>
      <c r="Y16" t="s">
        <v>93</v>
      </c>
      <c r="Z16" t="s">
        <v>92</v>
      </c>
      <c r="AA16" t="s">
        <v>92</v>
      </c>
      <c r="AF16" t="s">
        <v>125</v>
      </c>
      <c r="AG16" t="s">
        <v>138</v>
      </c>
      <c r="AH16" t="s">
        <v>138</v>
      </c>
      <c r="AJ16" t="s">
        <v>173</v>
      </c>
      <c r="AK16">
        <v>2</v>
      </c>
      <c r="AL16">
        <v>3</v>
      </c>
      <c r="AM16">
        <v>2</v>
      </c>
      <c r="AN16">
        <v>4</v>
      </c>
      <c r="AO16" t="s">
        <v>100</v>
      </c>
      <c r="AP16">
        <v>4</v>
      </c>
      <c r="AQ16">
        <v>3</v>
      </c>
      <c r="AR16">
        <v>3</v>
      </c>
      <c r="AS16">
        <v>3</v>
      </c>
      <c r="AT16">
        <v>3</v>
      </c>
      <c r="AU16">
        <v>4</v>
      </c>
      <c r="AV16">
        <v>4</v>
      </c>
      <c r="AW16">
        <v>4</v>
      </c>
      <c r="AX16" t="s">
        <v>100</v>
      </c>
      <c r="AY16">
        <v>3</v>
      </c>
      <c r="AZ16">
        <v>3</v>
      </c>
      <c r="BA16">
        <v>3</v>
      </c>
      <c r="BB16">
        <v>2</v>
      </c>
      <c r="BC16">
        <v>3</v>
      </c>
      <c r="BD16">
        <v>3</v>
      </c>
      <c r="BE16">
        <v>2</v>
      </c>
      <c r="BF16">
        <v>4</v>
      </c>
      <c r="BG16">
        <v>3</v>
      </c>
      <c r="BH16">
        <v>4</v>
      </c>
      <c r="BI16">
        <v>2</v>
      </c>
      <c r="BJ16">
        <v>3</v>
      </c>
      <c r="BK16">
        <v>2</v>
      </c>
      <c r="BL16" t="s">
        <v>111</v>
      </c>
      <c r="BM16">
        <v>3</v>
      </c>
      <c r="BN16">
        <v>3</v>
      </c>
      <c r="BO16">
        <v>4</v>
      </c>
      <c r="BQ16">
        <v>638.29999999999995</v>
      </c>
      <c r="BR16">
        <v>250.7</v>
      </c>
      <c r="CE16">
        <v>387.6</v>
      </c>
    </row>
    <row r="17" spans="1:83" x14ac:dyDescent="0.35">
      <c r="A17">
        <v>350</v>
      </c>
      <c r="B17" t="s">
        <v>179</v>
      </c>
      <c r="C17">
        <v>2</v>
      </c>
      <c r="D17" t="s">
        <v>88</v>
      </c>
      <c r="E17">
        <v>702863728</v>
      </c>
      <c r="F17" t="s">
        <v>180</v>
      </c>
      <c r="G17" t="s">
        <v>179</v>
      </c>
      <c r="H17" t="s">
        <v>181</v>
      </c>
      <c r="I17" t="s">
        <v>182</v>
      </c>
      <c r="J17" t="s">
        <v>92</v>
      </c>
      <c r="K17" t="s">
        <v>92</v>
      </c>
      <c r="L17" t="s">
        <v>92</v>
      </c>
      <c r="M17" t="s">
        <v>92</v>
      </c>
      <c r="N17" t="s">
        <v>93</v>
      </c>
      <c r="O17" t="s">
        <v>92</v>
      </c>
      <c r="Q17" t="s">
        <v>93</v>
      </c>
      <c r="S17" t="s">
        <v>119</v>
      </c>
      <c r="T17" t="s">
        <v>108</v>
      </c>
      <c r="U17" t="s">
        <v>93</v>
      </c>
      <c r="V17" t="s">
        <v>92</v>
      </c>
      <c r="W17" t="s">
        <v>93</v>
      </c>
      <c r="X17" t="s">
        <v>92</v>
      </c>
      <c r="Y17" t="s">
        <v>93</v>
      </c>
      <c r="Z17" t="s">
        <v>93</v>
      </c>
      <c r="AA17" t="s">
        <v>93</v>
      </c>
      <c r="AF17" t="s">
        <v>125</v>
      </c>
      <c r="AG17" t="s">
        <v>138</v>
      </c>
      <c r="AH17" t="s">
        <v>138</v>
      </c>
      <c r="AJ17" t="s">
        <v>110</v>
      </c>
      <c r="AK17" t="s">
        <v>98</v>
      </c>
      <c r="AL17">
        <v>2</v>
      </c>
      <c r="AM17">
        <v>3</v>
      </c>
      <c r="AN17" t="s">
        <v>120</v>
      </c>
      <c r="AO17">
        <v>4</v>
      </c>
      <c r="AP17" t="s">
        <v>100</v>
      </c>
      <c r="AQ17">
        <v>2</v>
      </c>
      <c r="AR17">
        <v>3</v>
      </c>
      <c r="AS17">
        <v>4</v>
      </c>
      <c r="AT17">
        <v>4</v>
      </c>
      <c r="AU17">
        <v>2</v>
      </c>
      <c r="AV17" t="s">
        <v>100</v>
      </c>
      <c r="AW17">
        <v>4</v>
      </c>
      <c r="AX17">
        <v>4</v>
      </c>
      <c r="AY17">
        <v>4</v>
      </c>
      <c r="AZ17">
        <v>4</v>
      </c>
      <c r="BA17" t="s">
        <v>100</v>
      </c>
      <c r="BB17">
        <v>4</v>
      </c>
      <c r="BC17">
        <v>3</v>
      </c>
      <c r="BD17" t="s">
        <v>100</v>
      </c>
      <c r="BE17">
        <v>3</v>
      </c>
      <c r="BF17" t="s">
        <v>100</v>
      </c>
      <c r="BG17">
        <v>2</v>
      </c>
      <c r="BH17" t="s">
        <v>100</v>
      </c>
      <c r="BI17">
        <v>4</v>
      </c>
      <c r="BJ17" t="s">
        <v>183</v>
      </c>
      <c r="BK17">
        <v>2</v>
      </c>
      <c r="BL17">
        <v>3</v>
      </c>
      <c r="BM17">
        <v>3</v>
      </c>
      <c r="BN17">
        <v>3</v>
      </c>
      <c r="BO17">
        <v>3</v>
      </c>
      <c r="BP17" t="s">
        <v>184</v>
      </c>
      <c r="BQ17">
        <v>1977.51</v>
      </c>
      <c r="BR17">
        <v>570.23</v>
      </c>
      <c r="CE17">
        <v>1407.28</v>
      </c>
    </row>
    <row r="18" spans="1:83" x14ac:dyDescent="0.35">
      <c r="A18">
        <v>351</v>
      </c>
      <c r="B18" t="s">
        <v>185</v>
      </c>
      <c r="C18">
        <v>2</v>
      </c>
      <c r="D18" t="s">
        <v>88</v>
      </c>
      <c r="E18">
        <v>1011064866</v>
      </c>
      <c r="F18" t="s">
        <v>186</v>
      </c>
      <c r="G18" t="s">
        <v>185</v>
      </c>
      <c r="H18" t="s">
        <v>187</v>
      </c>
      <c r="I18" t="s">
        <v>188</v>
      </c>
      <c r="J18" t="s">
        <v>93</v>
      </c>
      <c r="K18" t="s">
        <v>92</v>
      </c>
      <c r="L18" t="s">
        <v>92</v>
      </c>
      <c r="M18" t="s">
        <v>92</v>
      </c>
      <c r="N18" t="s">
        <v>93</v>
      </c>
      <c r="O18" t="s">
        <v>93</v>
      </c>
      <c r="Q18" t="s">
        <v>93</v>
      </c>
      <c r="S18" t="s">
        <v>95</v>
      </c>
      <c r="T18" t="s">
        <v>92</v>
      </c>
      <c r="U18" t="s">
        <v>93</v>
      </c>
      <c r="V18" t="s">
        <v>92</v>
      </c>
      <c r="W18" t="s">
        <v>92</v>
      </c>
      <c r="X18" t="s">
        <v>92</v>
      </c>
      <c r="Y18" t="s">
        <v>93</v>
      </c>
      <c r="Z18" t="s">
        <v>92</v>
      </c>
      <c r="AA18" t="s">
        <v>92</v>
      </c>
      <c r="AF18" t="s">
        <v>125</v>
      </c>
      <c r="AG18" t="s">
        <v>138</v>
      </c>
      <c r="AH18" t="s">
        <v>138</v>
      </c>
      <c r="AJ18" t="s">
        <v>97</v>
      </c>
      <c r="AK18">
        <v>2</v>
      </c>
      <c r="AL18">
        <v>3</v>
      </c>
      <c r="AM18">
        <v>4</v>
      </c>
      <c r="AN18" t="s">
        <v>120</v>
      </c>
      <c r="AO18">
        <v>4</v>
      </c>
      <c r="AP18" t="s">
        <v>100</v>
      </c>
      <c r="AQ18">
        <v>2</v>
      </c>
      <c r="AR18">
        <v>3</v>
      </c>
      <c r="AS18">
        <v>2</v>
      </c>
      <c r="AT18">
        <v>2</v>
      </c>
      <c r="AU18">
        <v>3</v>
      </c>
      <c r="AV18">
        <v>4</v>
      </c>
      <c r="AW18" t="s">
        <v>100</v>
      </c>
      <c r="AX18" t="s">
        <v>100</v>
      </c>
      <c r="AY18">
        <v>4</v>
      </c>
      <c r="AZ18" t="s">
        <v>100</v>
      </c>
      <c r="BA18">
        <v>4</v>
      </c>
      <c r="BB18">
        <v>4</v>
      </c>
      <c r="BC18">
        <v>2</v>
      </c>
      <c r="BD18">
        <v>4</v>
      </c>
      <c r="BE18">
        <v>4</v>
      </c>
      <c r="BF18" t="s">
        <v>100</v>
      </c>
      <c r="BG18">
        <v>2</v>
      </c>
      <c r="BH18">
        <v>4</v>
      </c>
      <c r="BI18">
        <v>3</v>
      </c>
      <c r="BJ18">
        <v>4</v>
      </c>
      <c r="BK18">
        <v>4</v>
      </c>
      <c r="BL18">
        <v>3</v>
      </c>
      <c r="BM18">
        <v>4</v>
      </c>
      <c r="BN18" t="s">
        <v>111</v>
      </c>
      <c r="BO18">
        <v>4</v>
      </c>
      <c r="BQ18">
        <v>470.67</v>
      </c>
      <c r="BR18">
        <v>209.39</v>
      </c>
      <c r="CE18">
        <v>261.27999999999997</v>
      </c>
    </row>
    <row r="19" spans="1:83" x14ac:dyDescent="0.35">
      <c r="A19">
        <v>352</v>
      </c>
      <c r="B19" t="s">
        <v>189</v>
      </c>
      <c r="C19">
        <v>2</v>
      </c>
      <c r="D19" t="s">
        <v>88</v>
      </c>
      <c r="E19">
        <v>90079718</v>
      </c>
      <c r="F19" t="s">
        <v>190</v>
      </c>
      <c r="G19" t="s">
        <v>189</v>
      </c>
      <c r="H19" t="s">
        <v>191</v>
      </c>
      <c r="I19" t="s">
        <v>192</v>
      </c>
      <c r="J19" t="s">
        <v>93</v>
      </c>
      <c r="K19" t="s">
        <v>92</v>
      </c>
      <c r="L19" t="s">
        <v>92</v>
      </c>
      <c r="M19" t="s">
        <v>92</v>
      </c>
      <c r="N19" t="s">
        <v>92</v>
      </c>
      <c r="O19" t="s">
        <v>92</v>
      </c>
      <c r="Q19" t="s">
        <v>93</v>
      </c>
      <c r="S19" t="s">
        <v>119</v>
      </c>
      <c r="T19" t="s">
        <v>108</v>
      </c>
      <c r="U19" t="s">
        <v>92</v>
      </c>
      <c r="V19" t="s">
        <v>93</v>
      </c>
      <c r="W19" t="s">
        <v>92</v>
      </c>
      <c r="X19" t="s">
        <v>92</v>
      </c>
      <c r="Y19" t="s">
        <v>92</v>
      </c>
      <c r="Z19" t="s">
        <v>92</v>
      </c>
      <c r="AA19" t="s">
        <v>92</v>
      </c>
      <c r="AF19">
        <v>4</v>
      </c>
      <c r="AG19" t="s">
        <v>138</v>
      </c>
      <c r="AH19" t="s">
        <v>138</v>
      </c>
      <c r="AI19" t="s">
        <v>193</v>
      </c>
      <c r="AJ19" t="s">
        <v>97</v>
      </c>
      <c r="AK19" t="s">
        <v>98</v>
      </c>
      <c r="AL19">
        <v>2</v>
      </c>
      <c r="AM19">
        <v>3</v>
      </c>
      <c r="AN19" t="s">
        <v>120</v>
      </c>
      <c r="AO19" t="s">
        <v>100</v>
      </c>
      <c r="AP19">
        <v>4</v>
      </c>
      <c r="AQ19">
        <v>3</v>
      </c>
      <c r="AR19" t="s">
        <v>99</v>
      </c>
      <c r="AS19" t="s">
        <v>99</v>
      </c>
      <c r="AT19" t="s">
        <v>99</v>
      </c>
      <c r="AU19" t="s">
        <v>99</v>
      </c>
      <c r="AV19" t="s">
        <v>99</v>
      </c>
      <c r="AW19">
        <v>4</v>
      </c>
      <c r="AX19">
        <v>4</v>
      </c>
      <c r="AY19">
        <v>3</v>
      </c>
      <c r="AZ19" t="s">
        <v>99</v>
      </c>
      <c r="BA19">
        <v>4</v>
      </c>
      <c r="BB19">
        <v>3</v>
      </c>
      <c r="BC19">
        <v>4</v>
      </c>
      <c r="BD19">
        <v>3</v>
      </c>
      <c r="BE19">
        <v>4</v>
      </c>
      <c r="BF19">
        <v>3</v>
      </c>
      <c r="BG19" t="s">
        <v>100</v>
      </c>
      <c r="BH19" t="s">
        <v>100</v>
      </c>
      <c r="BI19" t="s">
        <v>111</v>
      </c>
      <c r="BJ19" t="s">
        <v>111</v>
      </c>
      <c r="BK19" t="s">
        <v>111</v>
      </c>
      <c r="BL19" t="s">
        <v>111</v>
      </c>
      <c r="BM19" t="s">
        <v>111</v>
      </c>
      <c r="BN19" t="s">
        <v>111</v>
      </c>
      <c r="BO19" t="s">
        <v>111</v>
      </c>
      <c r="BP19" t="s">
        <v>194</v>
      </c>
      <c r="BQ19">
        <v>354.73</v>
      </c>
      <c r="BR19">
        <v>124.78</v>
      </c>
      <c r="CE19">
        <v>229.95</v>
      </c>
    </row>
    <row r="20" spans="1:83" x14ac:dyDescent="0.35">
      <c r="A20">
        <v>353</v>
      </c>
      <c r="B20" t="s">
        <v>195</v>
      </c>
      <c r="C20">
        <v>2</v>
      </c>
      <c r="D20" t="s">
        <v>88</v>
      </c>
      <c r="E20">
        <v>231649365</v>
      </c>
      <c r="F20" t="s">
        <v>196</v>
      </c>
      <c r="G20" t="s">
        <v>195</v>
      </c>
      <c r="H20" t="s">
        <v>197</v>
      </c>
      <c r="I20" t="s">
        <v>198</v>
      </c>
      <c r="J20" t="s">
        <v>92</v>
      </c>
      <c r="K20" t="s">
        <v>92</v>
      </c>
      <c r="L20" t="s">
        <v>93</v>
      </c>
      <c r="M20" t="s">
        <v>92</v>
      </c>
      <c r="N20" t="s">
        <v>93</v>
      </c>
      <c r="O20" t="s">
        <v>93</v>
      </c>
      <c r="Q20" t="s">
        <v>92</v>
      </c>
      <c r="R20" t="s">
        <v>199</v>
      </c>
      <c r="S20" t="s">
        <v>119</v>
      </c>
      <c r="U20" t="s">
        <v>92</v>
      </c>
      <c r="V20" t="s">
        <v>93</v>
      </c>
      <c r="W20" t="s">
        <v>92</v>
      </c>
      <c r="X20" t="s">
        <v>92</v>
      </c>
      <c r="Y20" t="s">
        <v>93</v>
      </c>
      <c r="Z20" t="s">
        <v>93</v>
      </c>
      <c r="AA20" t="s">
        <v>92</v>
      </c>
      <c r="AJ20" t="s">
        <v>110</v>
      </c>
      <c r="AK20" t="s">
        <v>98</v>
      </c>
      <c r="AL20">
        <v>2</v>
      </c>
      <c r="AM20">
        <v>4</v>
      </c>
      <c r="AN20" t="s">
        <v>120</v>
      </c>
      <c r="AO20">
        <v>3</v>
      </c>
      <c r="AP20">
        <v>4</v>
      </c>
      <c r="AQ20">
        <v>4</v>
      </c>
      <c r="AR20" t="s">
        <v>99</v>
      </c>
      <c r="AS20">
        <v>2</v>
      </c>
      <c r="AT20" t="s">
        <v>99</v>
      </c>
      <c r="AU20">
        <v>4</v>
      </c>
      <c r="AV20">
        <v>4</v>
      </c>
      <c r="AW20" t="s">
        <v>100</v>
      </c>
      <c r="AX20" t="s">
        <v>100</v>
      </c>
      <c r="AY20">
        <v>2</v>
      </c>
      <c r="AZ20" t="s">
        <v>99</v>
      </c>
      <c r="BA20" t="s">
        <v>100</v>
      </c>
      <c r="BB20" t="s">
        <v>100</v>
      </c>
      <c r="BC20" t="s">
        <v>100</v>
      </c>
      <c r="BD20" t="s">
        <v>100</v>
      </c>
      <c r="BE20">
        <v>4</v>
      </c>
      <c r="BF20">
        <v>3</v>
      </c>
      <c r="BG20" t="s">
        <v>100</v>
      </c>
      <c r="BH20" t="s">
        <v>100</v>
      </c>
      <c r="BI20">
        <v>3</v>
      </c>
      <c r="BJ20">
        <v>4</v>
      </c>
      <c r="BK20" t="s">
        <v>111</v>
      </c>
      <c r="BL20" t="s">
        <v>183</v>
      </c>
      <c r="BM20" t="s">
        <v>183</v>
      </c>
      <c r="BN20">
        <v>3</v>
      </c>
      <c r="BO20">
        <v>2</v>
      </c>
      <c r="BQ20">
        <v>217.1</v>
      </c>
      <c r="BR20">
        <v>103.79</v>
      </c>
      <c r="CE20">
        <v>113.31</v>
      </c>
    </row>
    <row r="21" spans="1:83" x14ac:dyDescent="0.35">
      <c r="A21">
        <v>354</v>
      </c>
      <c r="C21">
        <v>0</v>
      </c>
      <c r="D21" t="s">
        <v>88</v>
      </c>
      <c r="E21">
        <v>1951488769</v>
      </c>
      <c r="F21" t="s">
        <v>200</v>
      </c>
      <c r="G21" t="s">
        <v>200</v>
      </c>
      <c r="J21" t="s">
        <v>113</v>
      </c>
      <c r="K21" t="s">
        <v>113</v>
      </c>
      <c r="L21" t="s">
        <v>113</v>
      </c>
      <c r="M21" t="s">
        <v>113</v>
      </c>
      <c r="N21" t="s">
        <v>113</v>
      </c>
      <c r="O21" t="s">
        <v>113</v>
      </c>
      <c r="Q21" t="s">
        <v>113</v>
      </c>
      <c r="U21" t="s">
        <v>113</v>
      </c>
      <c r="V21" t="s">
        <v>113</v>
      </c>
      <c r="W21" t="s">
        <v>113</v>
      </c>
      <c r="X21" t="s">
        <v>113</v>
      </c>
      <c r="Y21" t="s">
        <v>113</v>
      </c>
      <c r="Z21" t="s">
        <v>113</v>
      </c>
      <c r="AA21" t="s">
        <v>113</v>
      </c>
      <c r="BQ21">
        <v>0</v>
      </c>
    </row>
    <row r="22" spans="1:83" x14ac:dyDescent="0.35">
      <c r="A22">
        <v>355</v>
      </c>
      <c r="B22" t="s">
        <v>201</v>
      </c>
      <c r="C22">
        <v>2</v>
      </c>
      <c r="D22" t="s">
        <v>88</v>
      </c>
      <c r="E22">
        <v>65984173</v>
      </c>
      <c r="F22" t="s">
        <v>202</v>
      </c>
      <c r="G22" t="s">
        <v>201</v>
      </c>
      <c r="H22" t="s">
        <v>203</v>
      </c>
      <c r="I22" t="s">
        <v>204</v>
      </c>
      <c r="J22" t="s">
        <v>93</v>
      </c>
      <c r="K22" t="s">
        <v>92</v>
      </c>
      <c r="L22" t="s">
        <v>93</v>
      </c>
      <c r="M22" t="s">
        <v>92</v>
      </c>
      <c r="N22" t="s">
        <v>92</v>
      </c>
      <c r="O22" t="s">
        <v>92</v>
      </c>
      <c r="Q22" t="s">
        <v>92</v>
      </c>
      <c r="R22" t="s">
        <v>205</v>
      </c>
      <c r="S22" t="s">
        <v>119</v>
      </c>
      <c r="U22" t="s">
        <v>92</v>
      </c>
      <c r="V22" t="s">
        <v>93</v>
      </c>
      <c r="W22" t="s">
        <v>92</v>
      </c>
      <c r="X22" t="s">
        <v>92</v>
      </c>
      <c r="Y22" t="s">
        <v>93</v>
      </c>
      <c r="Z22" t="s">
        <v>92</v>
      </c>
      <c r="AA22" t="s">
        <v>92</v>
      </c>
      <c r="AI22" t="s">
        <v>206</v>
      </c>
      <c r="AJ22" t="s">
        <v>110</v>
      </c>
      <c r="AK22">
        <v>2</v>
      </c>
      <c r="AL22">
        <v>2</v>
      </c>
      <c r="AM22">
        <v>4</v>
      </c>
      <c r="AN22" t="s">
        <v>120</v>
      </c>
      <c r="AO22">
        <v>4</v>
      </c>
      <c r="AP22">
        <v>3</v>
      </c>
      <c r="AQ22">
        <v>3</v>
      </c>
      <c r="AR22">
        <v>2</v>
      </c>
      <c r="AS22">
        <v>2</v>
      </c>
      <c r="AT22" t="s">
        <v>99</v>
      </c>
      <c r="AU22">
        <v>2</v>
      </c>
      <c r="AV22">
        <v>2</v>
      </c>
      <c r="AW22">
        <v>4</v>
      </c>
      <c r="AX22" t="s">
        <v>100</v>
      </c>
      <c r="AY22">
        <v>4</v>
      </c>
      <c r="AZ22" t="s">
        <v>99</v>
      </c>
      <c r="BA22">
        <v>2</v>
      </c>
      <c r="BB22" t="s">
        <v>99</v>
      </c>
      <c r="BC22">
        <v>3</v>
      </c>
      <c r="BD22">
        <v>4</v>
      </c>
      <c r="BE22">
        <v>3</v>
      </c>
      <c r="BF22">
        <v>4</v>
      </c>
      <c r="BG22">
        <v>3</v>
      </c>
      <c r="BH22">
        <v>3</v>
      </c>
      <c r="BI22">
        <v>3</v>
      </c>
      <c r="BJ22">
        <v>4</v>
      </c>
      <c r="BK22">
        <v>4</v>
      </c>
      <c r="BL22">
        <v>4</v>
      </c>
      <c r="BM22">
        <v>4</v>
      </c>
      <c r="BN22">
        <v>4</v>
      </c>
      <c r="BO22">
        <v>4</v>
      </c>
      <c r="BP22" t="s">
        <v>207</v>
      </c>
      <c r="BQ22">
        <v>722.04</v>
      </c>
      <c r="BR22">
        <v>167.54</v>
      </c>
      <c r="CE22">
        <v>554.5</v>
      </c>
    </row>
    <row r="23" spans="1:83" x14ac:dyDescent="0.35">
      <c r="A23">
        <v>356</v>
      </c>
      <c r="C23">
        <v>1</v>
      </c>
      <c r="D23" t="s">
        <v>88</v>
      </c>
      <c r="E23">
        <v>814133332</v>
      </c>
      <c r="F23" t="s">
        <v>208</v>
      </c>
      <c r="G23" t="s">
        <v>209</v>
      </c>
      <c r="H23" t="s">
        <v>210</v>
      </c>
      <c r="I23" t="s">
        <v>211</v>
      </c>
      <c r="J23" t="s">
        <v>93</v>
      </c>
      <c r="K23" t="s">
        <v>92</v>
      </c>
      <c r="L23" t="s">
        <v>92</v>
      </c>
      <c r="M23" t="s">
        <v>92</v>
      </c>
      <c r="N23" t="s">
        <v>92</v>
      </c>
      <c r="O23" t="s">
        <v>93</v>
      </c>
      <c r="Q23" t="s">
        <v>92</v>
      </c>
      <c r="R23" t="s">
        <v>212</v>
      </c>
      <c r="S23" t="s">
        <v>119</v>
      </c>
      <c r="U23" t="s">
        <v>92</v>
      </c>
      <c r="V23" t="s">
        <v>92</v>
      </c>
      <c r="W23" t="s">
        <v>92</v>
      </c>
      <c r="X23" t="s">
        <v>92</v>
      </c>
      <c r="Y23" t="s">
        <v>93</v>
      </c>
      <c r="Z23" t="s">
        <v>93</v>
      </c>
      <c r="AA23" t="s">
        <v>92</v>
      </c>
      <c r="AJ23" t="s">
        <v>110</v>
      </c>
      <c r="BQ23">
        <v>116.16</v>
      </c>
      <c r="BR23">
        <v>116.16</v>
      </c>
    </row>
    <row r="24" spans="1:83" x14ac:dyDescent="0.35">
      <c r="A24">
        <v>357</v>
      </c>
      <c r="B24" t="s">
        <v>213</v>
      </c>
      <c r="C24">
        <v>2</v>
      </c>
      <c r="D24" t="s">
        <v>88</v>
      </c>
      <c r="E24">
        <v>1749959462</v>
      </c>
      <c r="F24" t="s">
        <v>214</v>
      </c>
      <c r="G24" t="s">
        <v>213</v>
      </c>
      <c r="H24" t="s">
        <v>215</v>
      </c>
      <c r="I24" t="s">
        <v>216</v>
      </c>
      <c r="J24" t="s">
        <v>93</v>
      </c>
      <c r="K24" t="s">
        <v>92</v>
      </c>
      <c r="L24" t="s">
        <v>92</v>
      </c>
      <c r="M24" t="s">
        <v>92</v>
      </c>
      <c r="N24" t="s">
        <v>93</v>
      </c>
      <c r="O24" t="s">
        <v>93</v>
      </c>
      <c r="Q24" t="s">
        <v>93</v>
      </c>
      <c r="S24" t="s">
        <v>119</v>
      </c>
      <c r="T24" t="s">
        <v>93</v>
      </c>
      <c r="U24" t="s">
        <v>93</v>
      </c>
      <c r="V24" t="s">
        <v>92</v>
      </c>
      <c r="W24" t="s">
        <v>92</v>
      </c>
      <c r="X24" t="s">
        <v>92</v>
      </c>
      <c r="Y24" t="s">
        <v>93</v>
      </c>
      <c r="Z24" t="s">
        <v>92</v>
      </c>
      <c r="AA24" t="s">
        <v>92</v>
      </c>
      <c r="AF24" t="s">
        <v>125</v>
      </c>
      <c r="AG24" t="s">
        <v>138</v>
      </c>
      <c r="AH24">
        <v>4</v>
      </c>
      <c r="AJ24" t="s">
        <v>173</v>
      </c>
      <c r="AK24">
        <v>3</v>
      </c>
      <c r="AL24">
        <v>4</v>
      </c>
      <c r="AM24">
        <v>3</v>
      </c>
      <c r="AN24" t="s">
        <v>120</v>
      </c>
      <c r="AO24">
        <v>3</v>
      </c>
      <c r="AP24">
        <v>4</v>
      </c>
      <c r="AQ24">
        <v>2</v>
      </c>
      <c r="AR24">
        <v>2</v>
      </c>
      <c r="AS24">
        <v>4</v>
      </c>
      <c r="AT24" t="s">
        <v>100</v>
      </c>
      <c r="AU24">
        <v>3</v>
      </c>
      <c r="AV24">
        <v>3</v>
      </c>
      <c r="AW24">
        <v>4</v>
      </c>
      <c r="AX24" t="s">
        <v>100</v>
      </c>
      <c r="AY24">
        <v>3</v>
      </c>
      <c r="AZ24" t="s">
        <v>100</v>
      </c>
      <c r="BA24">
        <v>4</v>
      </c>
      <c r="BB24">
        <v>4</v>
      </c>
      <c r="BC24">
        <v>4</v>
      </c>
      <c r="BD24">
        <v>4</v>
      </c>
      <c r="BE24">
        <v>4</v>
      </c>
      <c r="BF24" t="s">
        <v>100</v>
      </c>
      <c r="BG24">
        <v>3</v>
      </c>
      <c r="BH24">
        <v>4</v>
      </c>
      <c r="BI24">
        <v>4</v>
      </c>
      <c r="BJ24">
        <v>2</v>
      </c>
      <c r="BK24">
        <v>2</v>
      </c>
      <c r="BL24">
        <v>3</v>
      </c>
      <c r="BM24">
        <v>3</v>
      </c>
      <c r="BN24">
        <v>3</v>
      </c>
      <c r="BO24">
        <v>4</v>
      </c>
      <c r="BQ24">
        <v>345.58</v>
      </c>
      <c r="BR24">
        <v>141.07</v>
      </c>
      <c r="CE24">
        <v>204.51</v>
      </c>
    </row>
    <row r="25" spans="1:83" x14ac:dyDescent="0.35">
      <c r="A25">
        <v>358</v>
      </c>
      <c r="C25">
        <v>1</v>
      </c>
      <c r="D25" t="s">
        <v>88</v>
      </c>
      <c r="E25">
        <v>276339449</v>
      </c>
      <c r="F25" t="s">
        <v>217</v>
      </c>
      <c r="G25" t="s">
        <v>218</v>
      </c>
      <c r="H25" t="s">
        <v>219</v>
      </c>
      <c r="I25" t="s">
        <v>220</v>
      </c>
      <c r="J25" t="s">
        <v>93</v>
      </c>
      <c r="K25" t="s">
        <v>92</v>
      </c>
      <c r="L25" t="s">
        <v>92</v>
      </c>
      <c r="M25" t="s">
        <v>92</v>
      </c>
      <c r="N25" t="s">
        <v>92</v>
      </c>
      <c r="O25" t="s">
        <v>92</v>
      </c>
      <c r="Q25" t="s">
        <v>93</v>
      </c>
      <c r="S25" t="s">
        <v>119</v>
      </c>
      <c r="T25" t="s">
        <v>108</v>
      </c>
      <c r="U25" t="s">
        <v>92</v>
      </c>
      <c r="V25" t="s">
        <v>92</v>
      </c>
      <c r="W25" t="s">
        <v>92</v>
      </c>
      <c r="X25" t="s">
        <v>92</v>
      </c>
      <c r="Y25" t="s">
        <v>92</v>
      </c>
      <c r="Z25" t="s">
        <v>93</v>
      </c>
      <c r="AA25" t="s">
        <v>92</v>
      </c>
      <c r="AF25">
        <v>3</v>
      </c>
      <c r="AG25">
        <v>3</v>
      </c>
      <c r="AH25">
        <v>3</v>
      </c>
      <c r="AJ25" t="s">
        <v>110</v>
      </c>
      <c r="BQ25">
        <v>55.42</v>
      </c>
      <c r="BR25">
        <v>55.42</v>
      </c>
    </row>
    <row r="26" spans="1:83" x14ac:dyDescent="0.35">
      <c r="A26">
        <v>359</v>
      </c>
      <c r="B26" t="s">
        <v>221</v>
      </c>
      <c r="C26">
        <v>2</v>
      </c>
      <c r="D26" t="s">
        <v>88</v>
      </c>
      <c r="E26">
        <v>1559311242</v>
      </c>
      <c r="F26" t="s">
        <v>222</v>
      </c>
      <c r="G26" t="s">
        <v>221</v>
      </c>
      <c r="H26" t="s">
        <v>223</v>
      </c>
      <c r="I26" t="s">
        <v>224</v>
      </c>
      <c r="J26" t="s">
        <v>93</v>
      </c>
      <c r="K26" t="s">
        <v>92</v>
      </c>
      <c r="L26" t="s">
        <v>92</v>
      </c>
      <c r="M26" t="s">
        <v>92</v>
      </c>
      <c r="N26" t="s">
        <v>92</v>
      </c>
      <c r="O26" t="s">
        <v>92</v>
      </c>
      <c r="Q26" t="s">
        <v>92</v>
      </c>
      <c r="R26" t="s">
        <v>225</v>
      </c>
      <c r="S26" t="s">
        <v>119</v>
      </c>
      <c r="U26" t="s">
        <v>93</v>
      </c>
      <c r="V26" t="s">
        <v>93</v>
      </c>
      <c r="W26" t="s">
        <v>92</v>
      </c>
      <c r="X26" t="s">
        <v>92</v>
      </c>
      <c r="Y26" t="s">
        <v>93</v>
      </c>
      <c r="Z26" t="s">
        <v>92</v>
      </c>
      <c r="AA26" t="s">
        <v>92</v>
      </c>
      <c r="AJ26" t="s">
        <v>97</v>
      </c>
      <c r="AK26">
        <v>3</v>
      </c>
      <c r="AL26">
        <v>4</v>
      </c>
      <c r="AM26">
        <v>4</v>
      </c>
      <c r="AN26" t="s">
        <v>120</v>
      </c>
      <c r="AO26">
        <v>4</v>
      </c>
      <c r="AP26" t="s">
        <v>100</v>
      </c>
      <c r="AQ26">
        <v>3</v>
      </c>
      <c r="AR26">
        <v>3</v>
      </c>
      <c r="AS26">
        <v>3</v>
      </c>
      <c r="AT26">
        <v>2</v>
      </c>
      <c r="AU26">
        <v>4</v>
      </c>
      <c r="AV26">
        <v>4</v>
      </c>
      <c r="AW26">
        <v>4</v>
      </c>
      <c r="AX26" t="s">
        <v>100</v>
      </c>
      <c r="AY26" t="s">
        <v>100</v>
      </c>
      <c r="AZ26" t="s">
        <v>100</v>
      </c>
      <c r="BA26">
        <v>4</v>
      </c>
      <c r="BB26">
        <v>4</v>
      </c>
      <c r="BC26">
        <v>4</v>
      </c>
      <c r="BD26" t="s">
        <v>100</v>
      </c>
      <c r="BE26">
        <v>4</v>
      </c>
      <c r="BF26" t="s">
        <v>100</v>
      </c>
      <c r="BG26">
        <v>4</v>
      </c>
      <c r="BH26">
        <v>4</v>
      </c>
      <c r="BI26" t="s">
        <v>111</v>
      </c>
      <c r="BJ26">
        <v>4</v>
      </c>
      <c r="BK26">
        <v>4</v>
      </c>
      <c r="BL26">
        <v>4</v>
      </c>
      <c r="BM26">
        <v>4</v>
      </c>
      <c r="BN26">
        <v>3</v>
      </c>
      <c r="BO26">
        <v>3</v>
      </c>
      <c r="BQ26">
        <v>183.92</v>
      </c>
      <c r="BR26">
        <v>82.97</v>
      </c>
      <c r="CE26">
        <v>100.95</v>
      </c>
    </row>
    <row r="27" spans="1:83" x14ac:dyDescent="0.35">
      <c r="A27">
        <v>360</v>
      </c>
      <c r="B27" t="s">
        <v>226</v>
      </c>
      <c r="C27">
        <v>2</v>
      </c>
      <c r="D27" t="s">
        <v>88</v>
      </c>
      <c r="E27">
        <v>1225433918</v>
      </c>
      <c r="F27" t="s">
        <v>227</v>
      </c>
      <c r="G27" t="s">
        <v>226</v>
      </c>
      <c r="H27" t="s">
        <v>228</v>
      </c>
      <c r="I27" t="s">
        <v>229</v>
      </c>
      <c r="J27" t="s">
        <v>93</v>
      </c>
      <c r="K27" t="s">
        <v>92</v>
      </c>
      <c r="L27" t="s">
        <v>92</v>
      </c>
      <c r="M27" t="s">
        <v>92</v>
      </c>
      <c r="N27" t="s">
        <v>93</v>
      </c>
      <c r="O27" t="s">
        <v>92</v>
      </c>
      <c r="Q27" t="s">
        <v>92</v>
      </c>
      <c r="R27" t="s">
        <v>230</v>
      </c>
      <c r="S27" t="s">
        <v>119</v>
      </c>
      <c r="U27" t="s">
        <v>92</v>
      </c>
      <c r="V27" t="s">
        <v>92</v>
      </c>
      <c r="W27" t="s">
        <v>92</v>
      </c>
      <c r="X27" t="s">
        <v>92</v>
      </c>
      <c r="Y27" t="s">
        <v>93</v>
      </c>
      <c r="Z27" t="s">
        <v>92</v>
      </c>
      <c r="AA27" t="s">
        <v>92</v>
      </c>
      <c r="AB27" t="s">
        <v>231</v>
      </c>
      <c r="AI27" t="s">
        <v>232</v>
      </c>
      <c r="AJ27" t="s">
        <v>173</v>
      </c>
      <c r="AK27" t="s">
        <v>98</v>
      </c>
      <c r="AL27">
        <v>4</v>
      </c>
      <c r="AM27">
        <v>2</v>
      </c>
      <c r="AN27" t="s">
        <v>120</v>
      </c>
      <c r="AO27">
        <v>4</v>
      </c>
      <c r="AP27">
        <v>4</v>
      </c>
      <c r="AQ27" t="s">
        <v>99</v>
      </c>
      <c r="AR27" t="s">
        <v>99</v>
      </c>
      <c r="AS27">
        <v>3</v>
      </c>
      <c r="AT27">
        <v>4</v>
      </c>
      <c r="AU27">
        <v>3</v>
      </c>
      <c r="AV27">
        <v>4</v>
      </c>
      <c r="AW27">
        <v>2</v>
      </c>
      <c r="AX27" t="s">
        <v>99</v>
      </c>
      <c r="AY27">
        <v>2</v>
      </c>
      <c r="AZ27" t="s">
        <v>100</v>
      </c>
      <c r="BA27">
        <v>4</v>
      </c>
      <c r="BB27" t="s">
        <v>100</v>
      </c>
      <c r="BC27">
        <v>2</v>
      </c>
      <c r="BD27" t="s">
        <v>100</v>
      </c>
      <c r="BE27" t="s">
        <v>99</v>
      </c>
      <c r="BF27">
        <v>4</v>
      </c>
      <c r="BG27" t="s">
        <v>99</v>
      </c>
      <c r="BH27" t="s">
        <v>100</v>
      </c>
      <c r="BI27" t="s">
        <v>111</v>
      </c>
      <c r="BJ27">
        <v>4</v>
      </c>
      <c r="BK27">
        <v>2</v>
      </c>
      <c r="BL27">
        <v>3</v>
      </c>
      <c r="BM27">
        <v>2</v>
      </c>
      <c r="BN27">
        <v>4</v>
      </c>
      <c r="BO27" t="s">
        <v>183</v>
      </c>
      <c r="BP27" t="s">
        <v>233</v>
      </c>
      <c r="BQ27">
        <v>374.56</v>
      </c>
      <c r="BR27">
        <v>115.11</v>
      </c>
      <c r="CE27">
        <v>259.45</v>
      </c>
    </row>
    <row r="28" spans="1:83" x14ac:dyDescent="0.35">
      <c r="A28">
        <v>361</v>
      </c>
      <c r="C28">
        <v>0</v>
      </c>
      <c r="D28" t="s">
        <v>88</v>
      </c>
      <c r="E28">
        <v>1723614637</v>
      </c>
      <c r="F28" t="s">
        <v>234</v>
      </c>
      <c r="G28" t="s">
        <v>234</v>
      </c>
      <c r="J28" t="s">
        <v>113</v>
      </c>
      <c r="K28" t="s">
        <v>113</v>
      </c>
      <c r="L28" t="s">
        <v>113</v>
      </c>
      <c r="M28" t="s">
        <v>113</v>
      </c>
      <c r="N28" t="s">
        <v>113</v>
      </c>
      <c r="O28" t="s">
        <v>113</v>
      </c>
      <c r="Q28" t="s">
        <v>113</v>
      </c>
      <c r="U28" t="s">
        <v>113</v>
      </c>
      <c r="V28" t="s">
        <v>113</v>
      </c>
      <c r="W28" t="s">
        <v>113</v>
      </c>
      <c r="X28" t="s">
        <v>113</v>
      </c>
      <c r="Y28" t="s">
        <v>113</v>
      </c>
      <c r="Z28" t="s">
        <v>113</v>
      </c>
      <c r="AA28" t="s">
        <v>113</v>
      </c>
      <c r="BQ28">
        <v>0</v>
      </c>
    </row>
    <row r="29" spans="1:83" x14ac:dyDescent="0.35">
      <c r="A29">
        <v>362</v>
      </c>
      <c r="B29" t="s">
        <v>235</v>
      </c>
      <c r="C29">
        <v>2</v>
      </c>
      <c r="D29" t="s">
        <v>88</v>
      </c>
      <c r="E29">
        <v>428724436</v>
      </c>
      <c r="F29" t="s">
        <v>236</v>
      </c>
      <c r="G29" t="s">
        <v>235</v>
      </c>
      <c r="H29" t="s">
        <v>219</v>
      </c>
      <c r="I29" t="s">
        <v>220</v>
      </c>
      <c r="J29" t="s">
        <v>93</v>
      </c>
      <c r="K29" t="s">
        <v>92</v>
      </c>
      <c r="L29" t="s">
        <v>92</v>
      </c>
      <c r="M29" t="s">
        <v>92</v>
      </c>
      <c r="N29" t="s">
        <v>92</v>
      </c>
      <c r="O29" t="s">
        <v>92</v>
      </c>
      <c r="Q29" t="s">
        <v>92</v>
      </c>
      <c r="R29" t="s">
        <v>237</v>
      </c>
      <c r="S29" t="s">
        <v>119</v>
      </c>
      <c r="U29" t="s">
        <v>92</v>
      </c>
      <c r="V29" t="s">
        <v>92</v>
      </c>
      <c r="W29" t="s">
        <v>92</v>
      </c>
      <c r="X29" t="s">
        <v>92</v>
      </c>
      <c r="Y29" t="s">
        <v>93</v>
      </c>
      <c r="Z29" t="s">
        <v>92</v>
      </c>
      <c r="AA29" t="s">
        <v>92</v>
      </c>
      <c r="AJ29" t="s">
        <v>110</v>
      </c>
      <c r="AK29">
        <v>3</v>
      </c>
      <c r="AL29">
        <v>3</v>
      </c>
      <c r="AM29">
        <v>4</v>
      </c>
      <c r="AN29" t="s">
        <v>120</v>
      </c>
      <c r="AO29">
        <v>4</v>
      </c>
      <c r="AP29">
        <v>3</v>
      </c>
      <c r="AQ29">
        <v>4</v>
      </c>
      <c r="AR29">
        <v>3</v>
      </c>
      <c r="AS29">
        <v>4</v>
      </c>
      <c r="AT29">
        <v>3</v>
      </c>
      <c r="AU29">
        <v>4</v>
      </c>
      <c r="AV29">
        <v>3</v>
      </c>
      <c r="AW29">
        <v>4</v>
      </c>
      <c r="AX29">
        <v>3</v>
      </c>
      <c r="AY29">
        <v>4</v>
      </c>
      <c r="AZ29">
        <v>3</v>
      </c>
      <c r="BA29">
        <v>4</v>
      </c>
      <c r="BB29">
        <v>3</v>
      </c>
      <c r="BC29">
        <v>4</v>
      </c>
      <c r="BD29">
        <v>3</v>
      </c>
      <c r="BE29">
        <v>4</v>
      </c>
      <c r="BF29">
        <v>3</v>
      </c>
      <c r="BG29">
        <v>4</v>
      </c>
      <c r="BH29">
        <v>3</v>
      </c>
      <c r="BI29">
        <v>4</v>
      </c>
      <c r="BJ29">
        <v>4</v>
      </c>
      <c r="BK29">
        <v>4</v>
      </c>
      <c r="BL29">
        <v>4</v>
      </c>
      <c r="BM29">
        <v>4</v>
      </c>
      <c r="BN29">
        <v>4</v>
      </c>
      <c r="BO29">
        <v>4</v>
      </c>
      <c r="BQ29">
        <v>100.22</v>
      </c>
      <c r="BR29">
        <v>41.88</v>
      </c>
      <c r="CE29">
        <v>58.34</v>
      </c>
    </row>
    <row r="30" spans="1:83" x14ac:dyDescent="0.35">
      <c r="A30">
        <v>363</v>
      </c>
      <c r="B30" t="s">
        <v>238</v>
      </c>
      <c r="C30">
        <v>2</v>
      </c>
      <c r="D30" t="s">
        <v>88</v>
      </c>
      <c r="E30">
        <v>1255441971</v>
      </c>
      <c r="F30" t="s">
        <v>239</v>
      </c>
      <c r="G30" t="s">
        <v>238</v>
      </c>
      <c r="H30" t="s">
        <v>240</v>
      </c>
      <c r="I30" t="s">
        <v>241</v>
      </c>
      <c r="J30" t="s">
        <v>93</v>
      </c>
      <c r="K30" t="s">
        <v>92</v>
      </c>
      <c r="L30" t="s">
        <v>92</v>
      </c>
      <c r="M30" t="s">
        <v>92</v>
      </c>
      <c r="N30" t="s">
        <v>92</v>
      </c>
      <c r="O30" t="s">
        <v>92</v>
      </c>
      <c r="Q30" t="s">
        <v>93</v>
      </c>
      <c r="S30" t="s">
        <v>107</v>
      </c>
      <c r="T30" t="s">
        <v>108</v>
      </c>
      <c r="U30" t="s">
        <v>92</v>
      </c>
      <c r="V30" t="s">
        <v>93</v>
      </c>
      <c r="W30" t="s">
        <v>92</v>
      </c>
      <c r="X30" t="s">
        <v>92</v>
      </c>
      <c r="Y30" t="s">
        <v>93</v>
      </c>
      <c r="Z30" t="s">
        <v>92</v>
      </c>
      <c r="AA30" t="s">
        <v>92</v>
      </c>
      <c r="AF30" t="s">
        <v>125</v>
      </c>
      <c r="AG30" t="s">
        <v>125</v>
      </c>
      <c r="AH30" t="s">
        <v>125</v>
      </c>
      <c r="AJ30" t="s">
        <v>110</v>
      </c>
      <c r="AK30">
        <v>2</v>
      </c>
      <c r="AL30">
        <v>2</v>
      </c>
      <c r="AM30">
        <v>3</v>
      </c>
      <c r="AN30">
        <v>3</v>
      </c>
      <c r="AO30">
        <v>2</v>
      </c>
      <c r="AP30">
        <v>3</v>
      </c>
      <c r="AQ30">
        <v>3</v>
      </c>
      <c r="AR30">
        <v>3</v>
      </c>
      <c r="AS30">
        <v>3</v>
      </c>
      <c r="AT30">
        <v>3</v>
      </c>
      <c r="AU30">
        <v>3</v>
      </c>
      <c r="AV30">
        <v>3</v>
      </c>
      <c r="AW30">
        <v>4</v>
      </c>
      <c r="AX30">
        <v>3</v>
      </c>
      <c r="AY30">
        <v>2</v>
      </c>
      <c r="AZ30">
        <v>3</v>
      </c>
      <c r="BA30">
        <v>2</v>
      </c>
      <c r="BB30">
        <v>3</v>
      </c>
      <c r="BC30">
        <v>2</v>
      </c>
      <c r="BD30">
        <v>3</v>
      </c>
      <c r="BE30">
        <v>2</v>
      </c>
      <c r="BF30">
        <v>3</v>
      </c>
      <c r="BG30">
        <v>2</v>
      </c>
      <c r="BH30">
        <v>3</v>
      </c>
      <c r="BI30">
        <v>4</v>
      </c>
      <c r="BJ30">
        <v>4</v>
      </c>
      <c r="BK30">
        <v>4</v>
      </c>
      <c r="BL30">
        <v>4</v>
      </c>
      <c r="BM30">
        <v>3</v>
      </c>
      <c r="BN30">
        <v>4</v>
      </c>
      <c r="BO30">
        <v>3</v>
      </c>
      <c r="BQ30">
        <v>158.22</v>
      </c>
      <c r="BR30">
        <v>75.84</v>
      </c>
      <c r="CE30">
        <v>82.38</v>
      </c>
    </row>
    <row r="31" spans="1:83" x14ac:dyDescent="0.35">
      <c r="A31">
        <v>364</v>
      </c>
      <c r="B31" t="s">
        <v>242</v>
      </c>
      <c r="C31">
        <v>2</v>
      </c>
      <c r="D31" t="s">
        <v>88</v>
      </c>
      <c r="E31">
        <v>1201275132</v>
      </c>
      <c r="F31" t="s">
        <v>243</v>
      </c>
      <c r="G31" t="s">
        <v>242</v>
      </c>
      <c r="H31" t="s">
        <v>244</v>
      </c>
      <c r="I31" t="s">
        <v>245</v>
      </c>
      <c r="J31" t="s">
        <v>93</v>
      </c>
      <c r="K31" t="s">
        <v>92</v>
      </c>
      <c r="L31" t="s">
        <v>92</v>
      </c>
      <c r="M31" t="s">
        <v>92</v>
      </c>
      <c r="N31" t="s">
        <v>92</v>
      </c>
      <c r="O31" t="s">
        <v>92</v>
      </c>
      <c r="Q31" t="s">
        <v>93</v>
      </c>
      <c r="S31" t="s">
        <v>119</v>
      </c>
      <c r="T31" t="s">
        <v>108</v>
      </c>
      <c r="U31" t="s">
        <v>92</v>
      </c>
      <c r="V31" t="s">
        <v>93</v>
      </c>
      <c r="W31" t="s">
        <v>93</v>
      </c>
      <c r="X31" t="s">
        <v>93</v>
      </c>
      <c r="Y31" t="s">
        <v>93</v>
      </c>
      <c r="Z31" t="s">
        <v>93</v>
      </c>
      <c r="AA31" t="s">
        <v>93</v>
      </c>
      <c r="AF31" t="s">
        <v>125</v>
      </c>
      <c r="AG31" t="s">
        <v>138</v>
      </c>
      <c r="AH31" t="s">
        <v>125</v>
      </c>
      <c r="AJ31" t="s">
        <v>110</v>
      </c>
      <c r="AK31">
        <v>2</v>
      </c>
      <c r="AL31">
        <v>3</v>
      </c>
      <c r="AM31">
        <v>4</v>
      </c>
      <c r="AN31" t="s">
        <v>120</v>
      </c>
      <c r="AO31" t="s">
        <v>100</v>
      </c>
      <c r="AP31" t="s">
        <v>100</v>
      </c>
      <c r="AQ31">
        <v>4</v>
      </c>
      <c r="AR31">
        <v>4</v>
      </c>
      <c r="AS31">
        <v>3</v>
      </c>
      <c r="AT31" t="s">
        <v>99</v>
      </c>
      <c r="AU31">
        <v>4</v>
      </c>
      <c r="AV31" t="s">
        <v>100</v>
      </c>
      <c r="AW31">
        <v>4</v>
      </c>
      <c r="AX31">
        <v>4</v>
      </c>
      <c r="AY31">
        <v>4</v>
      </c>
      <c r="AZ31" t="s">
        <v>100</v>
      </c>
      <c r="BA31" t="s">
        <v>100</v>
      </c>
      <c r="BB31" t="s">
        <v>100</v>
      </c>
      <c r="BC31">
        <v>3</v>
      </c>
      <c r="BD31">
        <v>4</v>
      </c>
      <c r="BE31">
        <v>4</v>
      </c>
      <c r="BF31">
        <v>4</v>
      </c>
      <c r="BG31">
        <v>4</v>
      </c>
      <c r="BH31" t="s">
        <v>100</v>
      </c>
      <c r="BI31">
        <v>3</v>
      </c>
      <c r="BJ31">
        <v>4</v>
      </c>
      <c r="BK31">
        <v>4</v>
      </c>
      <c r="BL31">
        <v>4</v>
      </c>
      <c r="BM31">
        <v>4</v>
      </c>
      <c r="BN31">
        <v>4</v>
      </c>
      <c r="BO31">
        <v>4</v>
      </c>
      <c r="BP31" t="s">
        <v>246</v>
      </c>
      <c r="BQ31">
        <v>444.96</v>
      </c>
      <c r="BR31">
        <v>61.49</v>
      </c>
      <c r="CE31">
        <v>383.47</v>
      </c>
    </row>
    <row r="32" spans="1:83" x14ac:dyDescent="0.35">
      <c r="A32">
        <v>365</v>
      </c>
      <c r="C32">
        <v>0</v>
      </c>
      <c r="D32" t="s">
        <v>88</v>
      </c>
      <c r="E32">
        <v>193697681</v>
      </c>
      <c r="F32" t="s">
        <v>247</v>
      </c>
      <c r="G32" t="s">
        <v>247</v>
      </c>
      <c r="J32" t="s">
        <v>113</v>
      </c>
      <c r="K32" t="s">
        <v>113</v>
      </c>
      <c r="L32" t="s">
        <v>113</v>
      </c>
      <c r="M32" t="s">
        <v>113</v>
      </c>
      <c r="N32" t="s">
        <v>113</v>
      </c>
      <c r="O32" t="s">
        <v>113</v>
      </c>
      <c r="Q32" t="s">
        <v>113</v>
      </c>
      <c r="U32" t="s">
        <v>113</v>
      </c>
      <c r="V32" t="s">
        <v>113</v>
      </c>
      <c r="W32" t="s">
        <v>113</v>
      </c>
      <c r="X32" t="s">
        <v>113</v>
      </c>
      <c r="Y32" t="s">
        <v>113</v>
      </c>
      <c r="Z32" t="s">
        <v>113</v>
      </c>
      <c r="AA32" t="s">
        <v>113</v>
      </c>
      <c r="BQ32">
        <v>0</v>
      </c>
    </row>
    <row r="33" spans="1:83" x14ac:dyDescent="0.35">
      <c r="A33">
        <v>366</v>
      </c>
      <c r="B33" t="s">
        <v>248</v>
      </c>
      <c r="C33">
        <v>2</v>
      </c>
      <c r="D33" t="s">
        <v>88</v>
      </c>
      <c r="E33">
        <v>574749930</v>
      </c>
      <c r="F33" t="s">
        <v>249</v>
      </c>
      <c r="G33" t="s">
        <v>248</v>
      </c>
      <c r="H33" t="s">
        <v>250</v>
      </c>
      <c r="I33" t="s">
        <v>251</v>
      </c>
      <c r="J33" t="s">
        <v>93</v>
      </c>
      <c r="K33" t="s">
        <v>92</v>
      </c>
      <c r="L33" t="s">
        <v>93</v>
      </c>
      <c r="M33" t="s">
        <v>92</v>
      </c>
      <c r="N33" t="s">
        <v>92</v>
      </c>
      <c r="O33" t="s">
        <v>92</v>
      </c>
      <c r="Q33" t="s">
        <v>92</v>
      </c>
      <c r="R33" t="s">
        <v>252</v>
      </c>
      <c r="S33" t="s">
        <v>95</v>
      </c>
      <c r="U33" t="s">
        <v>92</v>
      </c>
      <c r="V33" t="s">
        <v>93</v>
      </c>
      <c r="W33" t="s">
        <v>92</v>
      </c>
      <c r="X33" t="s">
        <v>92</v>
      </c>
      <c r="Y33" t="s">
        <v>93</v>
      </c>
      <c r="Z33" t="s">
        <v>93</v>
      </c>
      <c r="AA33" t="s">
        <v>92</v>
      </c>
      <c r="AJ33" t="s">
        <v>97</v>
      </c>
      <c r="AK33">
        <v>3</v>
      </c>
      <c r="AL33">
        <v>3</v>
      </c>
      <c r="AM33">
        <v>3</v>
      </c>
      <c r="AN33" t="s">
        <v>120</v>
      </c>
      <c r="AO33">
        <v>3</v>
      </c>
      <c r="AP33">
        <v>4</v>
      </c>
      <c r="AQ33">
        <v>3</v>
      </c>
      <c r="AR33">
        <v>3</v>
      </c>
      <c r="AS33">
        <v>3</v>
      </c>
      <c r="AT33">
        <v>3</v>
      </c>
      <c r="AU33">
        <v>3</v>
      </c>
      <c r="AV33">
        <v>3</v>
      </c>
      <c r="AW33">
        <v>3</v>
      </c>
      <c r="AX33">
        <v>3</v>
      </c>
      <c r="AY33">
        <v>3</v>
      </c>
      <c r="AZ33">
        <v>4</v>
      </c>
      <c r="BA33">
        <v>3</v>
      </c>
      <c r="BB33">
        <v>3</v>
      </c>
      <c r="BC33">
        <v>3</v>
      </c>
      <c r="BD33">
        <v>3</v>
      </c>
      <c r="BE33">
        <v>3</v>
      </c>
      <c r="BF33">
        <v>3</v>
      </c>
      <c r="BG33">
        <v>4</v>
      </c>
      <c r="BH33">
        <v>3</v>
      </c>
      <c r="BI33">
        <v>4</v>
      </c>
      <c r="BJ33">
        <v>4</v>
      </c>
      <c r="BK33">
        <v>4</v>
      </c>
      <c r="BL33">
        <v>4</v>
      </c>
      <c r="BM33">
        <v>3</v>
      </c>
      <c r="BN33">
        <v>3</v>
      </c>
      <c r="BO33">
        <v>3</v>
      </c>
      <c r="BQ33">
        <v>182.83</v>
      </c>
      <c r="BR33">
        <v>78.45</v>
      </c>
      <c r="CE33">
        <v>104.38</v>
      </c>
    </row>
    <row r="34" spans="1:83" x14ac:dyDescent="0.35">
      <c r="A34">
        <v>367</v>
      </c>
      <c r="B34" t="s">
        <v>253</v>
      </c>
      <c r="C34">
        <v>2</v>
      </c>
      <c r="D34" t="s">
        <v>88</v>
      </c>
      <c r="E34">
        <v>2109579000</v>
      </c>
      <c r="F34" t="s">
        <v>254</v>
      </c>
      <c r="G34" t="s">
        <v>253</v>
      </c>
      <c r="H34" t="s">
        <v>255</v>
      </c>
      <c r="I34" t="s">
        <v>256</v>
      </c>
      <c r="J34" t="s">
        <v>93</v>
      </c>
      <c r="K34" t="s">
        <v>92</v>
      </c>
      <c r="L34" t="s">
        <v>92</v>
      </c>
      <c r="M34" t="s">
        <v>92</v>
      </c>
      <c r="N34" t="s">
        <v>93</v>
      </c>
      <c r="O34" t="s">
        <v>93</v>
      </c>
      <c r="Q34" t="s">
        <v>93</v>
      </c>
      <c r="S34" t="s">
        <v>95</v>
      </c>
      <c r="T34" t="s">
        <v>108</v>
      </c>
      <c r="U34" t="s">
        <v>93</v>
      </c>
      <c r="V34" t="s">
        <v>93</v>
      </c>
      <c r="W34" t="s">
        <v>92</v>
      </c>
      <c r="X34" t="s">
        <v>93</v>
      </c>
      <c r="Y34" t="s">
        <v>93</v>
      </c>
      <c r="Z34" t="s">
        <v>93</v>
      </c>
      <c r="AA34" t="s">
        <v>93</v>
      </c>
      <c r="AF34">
        <v>3</v>
      </c>
      <c r="AG34">
        <v>4</v>
      </c>
      <c r="AH34" t="s">
        <v>138</v>
      </c>
      <c r="AI34" t="s">
        <v>257</v>
      </c>
      <c r="AJ34" t="s">
        <v>97</v>
      </c>
      <c r="AK34" t="s">
        <v>98</v>
      </c>
      <c r="AL34">
        <v>2</v>
      </c>
      <c r="AM34">
        <v>4</v>
      </c>
      <c r="AN34">
        <v>4</v>
      </c>
      <c r="AO34">
        <v>4</v>
      </c>
      <c r="AP34">
        <v>4</v>
      </c>
      <c r="AQ34">
        <v>4</v>
      </c>
      <c r="AR34">
        <v>3</v>
      </c>
      <c r="AS34">
        <v>4</v>
      </c>
      <c r="AT34" t="s">
        <v>100</v>
      </c>
      <c r="AU34">
        <v>3</v>
      </c>
      <c r="AV34">
        <v>3</v>
      </c>
      <c r="AW34">
        <v>4</v>
      </c>
      <c r="AX34">
        <v>4</v>
      </c>
      <c r="AY34">
        <v>4</v>
      </c>
      <c r="AZ34">
        <v>4</v>
      </c>
      <c r="BA34">
        <v>4</v>
      </c>
      <c r="BB34" t="s">
        <v>100</v>
      </c>
      <c r="BC34">
        <v>4</v>
      </c>
      <c r="BD34" t="s">
        <v>100</v>
      </c>
      <c r="BE34">
        <v>2</v>
      </c>
      <c r="BF34" t="s">
        <v>99</v>
      </c>
      <c r="BG34">
        <v>3</v>
      </c>
      <c r="BH34" t="s">
        <v>99</v>
      </c>
      <c r="BI34">
        <v>3</v>
      </c>
      <c r="BJ34">
        <v>4</v>
      </c>
      <c r="BK34">
        <v>3</v>
      </c>
      <c r="BL34" t="s">
        <v>111</v>
      </c>
      <c r="BM34">
        <v>4</v>
      </c>
      <c r="BN34">
        <v>3</v>
      </c>
      <c r="BO34">
        <v>4</v>
      </c>
      <c r="BP34" t="s">
        <v>258</v>
      </c>
      <c r="BQ34">
        <v>751.62</v>
      </c>
      <c r="BR34">
        <v>353.02</v>
      </c>
      <c r="CE34">
        <v>398.6</v>
      </c>
    </row>
    <row r="35" spans="1:83" x14ac:dyDescent="0.35">
      <c r="A35">
        <v>368</v>
      </c>
      <c r="B35" t="s">
        <v>259</v>
      </c>
      <c r="C35">
        <v>2</v>
      </c>
      <c r="D35" t="s">
        <v>88</v>
      </c>
      <c r="E35">
        <v>487659046</v>
      </c>
      <c r="F35" t="s">
        <v>260</v>
      </c>
      <c r="G35" t="s">
        <v>259</v>
      </c>
      <c r="H35" t="s">
        <v>261</v>
      </c>
      <c r="I35" t="s">
        <v>262</v>
      </c>
      <c r="J35" t="s">
        <v>93</v>
      </c>
      <c r="K35" t="s">
        <v>92</v>
      </c>
      <c r="L35" t="s">
        <v>92</v>
      </c>
      <c r="M35" t="s">
        <v>93</v>
      </c>
      <c r="N35" t="s">
        <v>92</v>
      </c>
      <c r="O35" t="s">
        <v>92</v>
      </c>
      <c r="Q35" t="s">
        <v>93</v>
      </c>
      <c r="S35" t="s">
        <v>95</v>
      </c>
      <c r="T35" t="s">
        <v>108</v>
      </c>
      <c r="U35" t="s">
        <v>93</v>
      </c>
      <c r="V35" t="s">
        <v>92</v>
      </c>
      <c r="W35" t="s">
        <v>93</v>
      </c>
      <c r="X35" t="s">
        <v>92</v>
      </c>
      <c r="Y35" t="s">
        <v>93</v>
      </c>
      <c r="Z35" t="s">
        <v>93</v>
      </c>
      <c r="AA35" t="s">
        <v>93</v>
      </c>
      <c r="AB35" t="s">
        <v>263</v>
      </c>
      <c r="AF35" t="s">
        <v>125</v>
      </c>
      <c r="AG35" t="s">
        <v>125</v>
      </c>
      <c r="AH35" t="s">
        <v>125</v>
      </c>
      <c r="AJ35" t="s">
        <v>173</v>
      </c>
      <c r="AK35">
        <v>4</v>
      </c>
      <c r="AL35">
        <v>2</v>
      </c>
      <c r="AM35" t="s">
        <v>120</v>
      </c>
      <c r="AN35" t="s">
        <v>120</v>
      </c>
      <c r="AO35">
        <v>4</v>
      </c>
      <c r="AP35">
        <v>3</v>
      </c>
      <c r="AQ35">
        <v>3</v>
      </c>
      <c r="AR35">
        <v>3</v>
      </c>
      <c r="AS35">
        <v>3</v>
      </c>
      <c r="AT35">
        <v>4</v>
      </c>
      <c r="AU35">
        <v>3</v>
      </c>
      <c r="AV35">
        <v>4</v>
      </c>
      <c r="AW35">
        <v>4</v>
      </c>
      <c r="AX35">
        <v>4</v>
      </c>
      <c r="AY35">
        <v>3</v>
      </c>
      <c r="AZ35" t="s">
        <v>100</v>
      </c>
      <c r="BA35">
        <v>3</v>
      </c>
      <c r="BB35">
        <v>4</v>
      </c>
      <c r="BC35">
        <v>4</v>
      </c>
      <c r="BD35" t="s">
        <v>100</v>
      </c>
      <c r="BE35">
        <v>4</v>
      </c>
      <c r="BF35">
        <v>4</v>
      </c>
      <c r="BG35">
        <v>3</v>
      </c>
      <c r="BH35">
        <v>4</v>
      </c>
      <c r="BI35">
        <v>3</v>
      </c>
      <c r="BJ35">
        <v>4</v>
      </c>
      <c r="BK35">
        <v>3</v>
      </c>
      <c r="BL35">
        <v>4</v>
      </c>
      <c r="BM35" t="s">
        <v>111</v>
      </c>
      <c r="BN35">
        <v>3</v>
      </c>
      <c r="BO35" t="s">
        <v>111</v>
      </c>
      <c r="BQ35">
        <v>617.84</v>
      </c>
      <c r="BR35">
        <v>186.19</v>
      </c>
      <c r="CE35">
        <v>431.65</v>
      </c>
    </row>
    <row r="36" spans="1:83" x14ac:dyDescent="0.35">
      <c r="A36">
        <v>369</v>
      </c>
      <c r="B36" t="s">
        <v>264</v>
      </c>
      <c r="C36">
        <v>2</v>
      </c>
      <c r="D36" t="s">
        <v>88</v>
      </c>
      <c r="E36">
        <v>1694823900</v>
      </c>
      <c r="F36" t="s">
        <v>265</v>
      </c>
      <c r="G36" t="s">
        <v>264</v>
      </c>
      <c r="H36" t="s">
        <v>266</v>
      </c>
      <c r="I36" t="s">
        <v>267</v>
      </c>
      <c r="J36" t="s">
        <v>93</v>
      </c>
      <c r="K36" t="s">
        <v>92</v>
      </c>
      <c r="L36" t="s">
        <v>92</v>
      </c>
      <c r="M36" t="s">
        <v>92</v>
      </c>
      <c r="N36" t="s">
        <v>93</v>
      </c>
      <c r="O36" t="s">
        <v>93</v>
      </c>
      <c r="Q36" t="s">
        <v>93</v>
      </c>
      <c r="S36" t="s">
        <v>119</v>
      </c>
      <c r="T36" t="s">
        <v>108</v>
      </c>
      <c r="U36" t="s">
        <v>92</v>
      </c>
      <c r="V36" t="s">
        <v>93</v>
      </c>
      <c r="W36" t="s">
        <v>92</v>
      </c>
      <c r="X36" t="s">
        <v>93</v>
      </c>
      <c r="Y36" t="s">
        <v>93</v>
      </c>
      <c r="Z36" t="s">
        <v>93</v>
      </c>
      <c r="AA36" t="s">
        <v>92</v>
      </c>
      <c r="AF36">
        <v>4</v>
      </c>
      <c r="AG36">
        <v>4</v>
      </c>
      <c r="AH36" t="s">
        <v>138</v>
      </c>
      <c r="AJ36" t="s">
        <v>97</v>
      </c>
      <c r="AK36">
        <v>2</v>
      </c>
      <c r="AL36">
        <v>3</v>
      </c>
      <c r="AM36">
        <v>3</v>
      </c>
      <c r="AN36" t="s">
        <v>120</v>
      </c>
      <c r="AO36">
        <v>4</v>
      </c>
      <c r="AP36">
        <v>4</v>
      </c>
      <c r="AQ36">
        <v>3</v>
      </c>
      <c r="AR36">
        <v>3</v>
      </c>
      <c r="AS36">
        <v>2</v>
      </c>
      <c r="AT36">
        <v>2</v>
      </c>
      <c r="AU36">
        <v>3</v>
      </c>
      <c r="AV36">
        <v>3</v>
      </c>
      <c r="AW36">
        <v>4</v>
      </c>
      <c r="AX36">
        <v>4</v>
      </c>
      <c r="AY36">
        <v>3</v>
      </c>
      <c r="AZ36">
        <v>3</v>
      </c>
      <c r="BA36">
        <v>4</v>
      </c>
      <c r="BB36">
        <v>4</v>
      </c>
      <c r="BC36">
        <v>3</v>
      </c>
      <c r="BD36">
        <v>3</v>
      </c>
      <c r="BE36">
        <v>2</v>
      </c>
      <c r="BF36">
        <v>2</v>
      </c>
      <c r="BG36">
        <v>3</v>
      </c>
      <c r="BH36">
        <v>3</v>
      </c>
      <c r="BI36">
        <v>4</v>
      </c>
      <c r="BJ36">
        <v>4</v>
      </c>
      <c r="BK36">
        <v>4</v>
      </c>
      <c r="BL36" t="s">
        <v>111</v>
      </c>
      <c r="BM36" t="s">
        <v>111</v>
      </c>
      <c r="BN36" t="s">
        <v>111</v>
      </c>
      <c r="BO36">
        <v>4</v>
      </c>
      <c r="BQ36">
        <v>262.38</v>
      </c>
      <c r="BR36">
        <v>130.58000000000001</v>
      </c>
      <c r="CE36">
        <v>131.80000000000001</v>
      </c>
    </row>
    <row r="37" spans="1:83" x14ac:dyDescent="0.35">
      <c r="A37">
        <v>370</v>
      </c>
      <c r="B37" t="s">
        <v>268</v>
      </c>
      <c r="C37">
        <v>2</v>
      </c>
      <c r="D37" t="s">
        <v>88</v>
      </c>
      <c r="E37">
        <v>476859155</v>
      </c>
      <c r="F37" t="s">
        <v>269</v>
      </c>
      <c r="G37" t="s">
        <v>268</v>
      </c>
      <c r="H37" t="s">
        <v>270</v>
      </c>
      <c r="I37" t="s">
        <v>271</v>
      </c>
      <c r="J37" t="s">
        <v>93</v>
      </c>
      <c r="K37" t="s">
        <v>92</v>
      </c>
      <c r="L37" t="s">
        <v>92</v>
      </c>
      <c r="M37" t="s">
        <v>92</v>
      </c>
      <c r="N37" t="s">
        <v>92</v>
      </c>
      <c r="O37" t="s">
        <v>93</v>
      </c>
      <c r="Q37" t="s">
        <v>92</v>
      </c>
      <c r="R37" t="s">
        <v>272</v>
      </c>
      <c r="S37" t="s">
        <v>95</v>
      </c>
      <c r="U37" t="s">
        <v>92</v>
      </c>
      <c r="V37" t="s">
        <v>93</v>
      </c>
      <c r="W37" t="s">
        <v>92</v>
      </c>
      <c r="X37" t="s">
        <v>93</v>
      </c>
      <c r="Y37" t="s">
        <v>92</v>
      </c>
      <c r="Z37" t="s">
        <v>92</v>
      </c>
      <c r="AA37" t="s">
        <v>93</v>
      </c>
      <c r="AB37" t="s">
        <v>273</v>
      </c>
      <c r="AI37" t="s">
        <v>274</v>
      </c>
      <c r="AJ37" t="s">
        <v>173</v>
      </c>
      <c r="AK37">
        <v>3</v>
      </c>
      <c r="AL37">
        <v>3</v>
      </c>
      <c r="AM37">
        <v>3</v>
      </c>
      <c r="AN37">
        <v>4</v>
      </c>
      <c r="AO37">
        <v>4</v>
      </c>
      <c r="AP37">
        <v>4</v>
      </c>
      <c r="AQ37">
        <v>4</v>
      </c>
      <c r="AR37">
        <v>4</v>
      </c>
      <c r="AS37" t="s">
        <v>100</v>
      </c>
      <c r="AT37" t="s">
        <v>100</v>
      </c>
      <c r="AU37">
        <v>3</v>
      </c>
      <c r="AV37">
        <v>4</v>
      </c>
      <c r="AW37">
        <v>3</v>
      </c>
      <c r="AX37">
        <v>4</v>
      </c>
      <c r="AY37">
        <v>4</v>
      </c>
      <c r="AZ37" t="s">
        <v>100</v>
      </c>
      <c r="BA37" t="s">
        <v>100</v>
      </c>
      <c r="BB37">
        <v>3</v>
      </c>
      <c r="BC37">
        <v>3</v>
      </c>
      <c r="BD37">
        <v>4</v>
      </c>
      <c r="BE37">
        <v>4</v>
      </c>
      <c r="BF37">
        <v>4</v>
      </c>
      <c r="BG37">
        <v>4</v>
      </c>
      <c r="BH37" t="s">
        <v>100</v>
      </c>
      <c r="BI37" t="s">
        <v>111</v>
      </c>
      <c r="BJ37" t="s">
        <v>111</v>
      </c>
      <c r="BK37">
        <v>4</v>
      </c>
      <c r="BL37">
        <v>4</v>
      </c>
      <c r="BM37">
        <v>3</v>
      </c>
      <c r="BN37" t="s">
        <v>111</v>
      </c>
      <c r="BO37" t="s">
        <v>111</v>
      </c>
      <c r="BQ37">
        <v>235.68</v>
      </c>
      <c r="BR37">
        <v>123.58</v>
      </c>
      <c r="CE37">
        <v>112.1</v>
      </c>
    </row>
    <row r="38" spans="1:83" x14ac:dyDescent="0.35">
      <c r="A38">
        <v>371</v>
      </c>
      <c r="B38" t="s">
        <v>275</v>
      </c>
      <c r="C38">
        <v>2</v>
      </c>
      <c r="D38" t="s">
        <v>88</v>
      </c>
      <c r="E38">
        <v>235641000</v>
      </c>
      <c r="F38" t="s">
        <v>276</v>
      </c>
      <c r="G38" t="s">
        <v>275</v>
      </c>
      <c r="H38" t="s">
        <v>277</v>
      </c>
      <c r="I38" t="s">
        <v>278</v>
      </c>
      <c r="J38" t="s">
        <v>93</v>
      </c>
      <c r="K38" t="s">
        <v>93</v>
      </c>
      <c r="L38" t="s">
        <v>92</v>
      </c>
      <c r="M38" t="s">
        <v>92</v>
      </c>
      <c r="N38" t="s">
        <v>92</v>
      </c>
      <c r="O38" t="s">
        <v>93</v>
      </c>
      <c r="Q38" t="s">
        <v>92</v>
      </c>
      <c r="R38" t="s">
        <v>279</v>
      </c>
      <c r="S38" t="s">
        <v>119</v>
      </c>
      <c r="U38" t="s">
        <v>92</v>
      </c>
      <c r="V38" t="s">
        <v>93</v>
      </c>
      <c r="W38" t="s">
        <v>92</v>
      </c>
      <c r="X38" t="s">
        <v>92</v>
      </c>
      <c r="Y38" t="s">
        <v>93</v>
      </c>
      <c r="Z38" t="s">
        <v>92</v>
      </c>
      <c r="AA38" t="s">
        <v>92</v>
      </c>
      <c r="AJ38" t="s">
        <v>110</v>
      </c>
      <c r="AK38">
        <v>2</v>
      </c>
      <c r="AL38">
        <v>3</v>
      </c>
      <c r="AM38">
        <v>3</v>
      </c>
      <c r="AN38">
        <v>4</v>
      </c>
      <c r="AO38">
        <v>3</v>
      </c>
      <c r="AP38">
        <v>2</v>
      </c>
      <c r="AQ38">
        <v>3</v>
      </c>
      <c r="AR38">
        <v>3</v>
      </c>
      <c r="AS38">
        <v>3</v>
      </c>
      <c r="AT38">
        <v>3</v>
      </c>
      <c r="AU38">
        <v>3</v>
      </c>
      <c r="AV38">
        <v>3</v>
      </c>
      <c r="AW38">
        <v>4</v>
      </c>
      <c r="AX38" t="s">
        <v>100</v>
      </c>
      <c r="AY38">
        <v>3</v>
      </c>
      <c r="AZ38">
        <v>4</v>
      </c>
      <c r="BA38">
        <v>3</v>
      </c>
      <c r="BB38" t="s">
        <v>99</v>
      </c>
      <c r="BC38">
        <v>3</v>
      </c>
      <c r="BD38">
        <v>4</v>
      </c>
      <c r="BE38">
        <v>3</v>
      </c>
      <c r="BF38" t="s">
        <v>100</v>
      </c>
      <c r="BG38">
        <v>3</v>
      </c>
      <c r="BH38">
        <v>4</v>
      </c>
      <c r="BI38" t="s">
        <v>111</v>
      </c>
      <c r="BJ38">
        <v>4</v>
      </c>
      <c r="BK38">
        <v>4</v>
      </c>
      <c r="BL38">
        <v>4</v>
      </c>
      <c r="BM38">
        <v>4</v>
      </c>
      <c r="BN38" t="s">
        <v>111</v>
      </c>
      <c r="BO38">
        <v>4</v>
      </c>
      <c r="BQ38">
        <v>224.41</v>
      </c>
      <c r="BR38">
        <v>87.09</v>
      </c>
      <c r="CE38">
        <v>137.32</v>
      </c>
    </row>
    <row r="39" spans="1:83" x14ac:dyDescent="0.35">
      <c r="A39">
        <v>372</v>
      </c>
      <c r="B39" t="s">
        <v>280</v>
      </c>
      <c r="C39">
        <v>2</v>
      </c>
      <c r="D39" t="s">
        <v>88</v>
      </c>
      <c r="E39">
        <v>1260833845</v>
      </c>
      <c r="F39" t="s">
        <v>281</v>
      </c>
      <c r="G39" t="s">
        <v>280</v>
      </c>
      <c r="H39" t="s">
        <v>282</v>
      </c>
      <c r="I39" t="s">
        <v>283</v>
      </c>
      <c r="J39" t="s">
        <v>93</v>
      </c>
      <c r="K39" t="s">
        <v>92</v>
      </c>
      <c r="L39" t="s">
        <v>93</v>
      </c>
      <c r="M39" t="s">
        <v>92</v>
      </c>
      <c r="N39" t="s">
        <v>92</v>
      </c>
      <c r="O39" t="s">
        <v>93</v>
      </c>
      <c r="Q39" t="s">
        <v>92</v>
      </c>
      <c r="R39" t="s">
        <v>284</v>
      </c>
      <c r="S39" t="s">
        <v>119</v>
      </c>
      <c r="U39" t="s">
        <v>92</v>
      </c>
      <c r="V39" t="s">
        <v>93</v>
      </c>
      <c r="W39" t="s">
        <v>92</v>
      </c>
      <c r="X39" t="s">
        <v>93</v>
      </c>
      <c r="Y39" t="s">
        <v>92</v>
      </c>
      <c r="Z39" t="s">
        <v>93</v>
      </c>
      <c r="AA39" t="s">
        <v>92</v>
      </c>
      <c r="AJ39" t="s">
        <v>97</v>
      </c>
      <c r="AK39">
        <v>2</v>
      </c>
      <c r="AL39">
        <v>3</v>
      </c>
      <c r="AM39" t="s">
        <v>120</v>
      </c>
      <c r="AN39">
        <v>4</v>
      </c>
      <c r="AO39">
        <v>4</v>
      </c>
      <c r="AP39" t="s">
        <v>100</v>
      </c>
      <c r="AQ39">
        <v>3</v>
      </c>
      <c r="AR39">
        <v>3</v>
      </c>
      <c r="AS39">
        <v>3</v>
      </c>
      <c r="AT39">
        <v>3</v>
      </c>
      <c r="AU39">
        <v>3</v>
      </c>
      <c r="AV39" t="s">
        <v>100</v>
      </c>
      <c r="AW39" t="s">
        <v>100</v>
      </c>
      <c r="AX39" t="s">
        <v>100</v>
      </c>
      <c r="AY39">
        <v>3</v>
      </c>
      <c r="AZ39" t="s">
        <v>99</v>
      </c>
      <c r="BA39">
        <v>3</v>
      </c>
      <c r="BB39" t="s">
        <v>100</v>
      </c>
      <c r="BC39">
        <v>4</v>
      </c>
      <c r="BD39" t="s">
        <v>100</v>
      </c>
      <c r="BE39" t="s">
        <v>99</v>
      </c>
      <c r="BF39" t="s">
        <v>99</v>
      </c>
      <c r="BG39">
        <v>4</v>
      </c>
      <c r="BH39" t="s">
        <v>100</v>
      </c>
      <c r="BI39" t="s">
        <v>111</v>
      </c>
      <c r="BJ39" t="s">
        <v>111</v>
      </c>
      <c r="BK39" t="s">
        <v>111</v>
      </c>
      <c r="BL39">
        <v>3</v>
      </c>
      <c r="BM39">
        <v>3</v>
      </c>
      <c r="BN39" t="s">
        <v>111</v>
      </c>
      <c r="BO39" t="s">
        <v>111</v>
      </c>
      <c r="BQ39">
        <v>217.64</v>
      </c>
      <c r="BR39">
        <v>62.48</v>
      </c>
      <c r="CE39">
        <v>155.16</v>
      </c>
    </row>
    <row r="40" spans="1:83" x14ac:dyDescent="0.35">
      <c r="A40">
        <v>373</v>
      </c>
      <c r="C40">
        <v>0</v>
      </c>
      <c r="D40" t="s">
        <v>88</v>
      </c>
      <c r="E40">
        <v>1740787494</v>
      </c>
      <c r="F40" t="s">
        <v>285</v>
      </c>
      <c r="G40" t="s">
        <v>285</v>
      </c>
      <c r="J40" t="s">
        <v>113</v>
      </c>
      <c r="K40" t="s">
        <v>113</v>
      </c>
      <c r="L40" t="s">
        <v>113</v>
      </c>
      <c r="M40" t="s">
        <v>113</v>
      </c>
      <c r="N40" t="s">
        <v>113</v>
      </c>
      <c r="O40" t="s">
        <v>113</v>
      </c>
      <c r="Q40" t="s">
        <v>113</v>
      </c>
      <c r="U40" t="s">
        <v>113</v>
      </c>
      <c r="V40" t="s">
        <v>113</v>
      </c>
      <c r="W40" t="s">
        <v>113</v>
      </c>
      <c r="X40" t="s">
        <v>113</v>
      </c>
      <c r="Y40" t="s">
        <v>113</v>
      </c>
      <c r="Z40" t="s">
        <v>113</v>
      </c>
      <c r="AA40" t="s">
        <v>113</v>
      </c>
      <c r="BQ40">
        <v>0</v>
      </c>
    </row>
    <row r="41" spans="1:83" x14ac:dyDescent="0.35">
      <c r="A41">
        <v>374</v>
      </c>
      <c r="B41" t="s">
        <v>286</v>
      </c>
      <c r="C41">
        <v>2</v>
      </c>
      <c r="D41" t="s">
        <v>88</v>
      </c>
      <c r="E41">
        <v>630374385</v>
      </c>
      <c r="F41" t="s">
        <v>287</v>
      </c>
      <c r="G41" t="s">
        <v>286</v>
      </c>
      <c r="H41" t="s">
        <v>288</v>
      </c>
      <c r="I41" t="s">
        <v>289</v>
      </c>
      <c r="J41" t="s">
        <v>93</v>
      </c>
      <c r="K41" t="s">
        <v>92</v>
      </c>
      <c r="L41" t="s">
        <v>92</v>
      </c>
      <c r="M41" t="s">
        <v>92</v>
      </c>
      <c r="N41" t="s">
        <v>93</v>
      </c>
      <c r="O41" t="s">
        <v>93</v>
      </c>
      <c r="Q41" t="s">
        <v>93</v>
      </c>
      <c r="S41" t="s">
        <v>95</v>
      </c>
      <c r="T41" t="s">
        <v>93</v>
      </c>
      <c r="U41" t="s">
        <v>92</v>
      </c>
      <c r="V41" t="s">
        <v>93</v>
      </c>
      <c r="W41" t="s">
        <v>92</v>
      </c>
      <c r="X41" t="s">
        <v>93</v>
      </c>
      <c r="Y41" t="s">
        <v>93</v>
      </c>
      <c r="Z41" t="s">
        <v>93</v>
      </c>
      <c r="AA41" t="s">
        <v>93</v>
      </c>
      <c r="AF41" t="s">
        <v>125</v>
      </c>
      <c r="AG41" t="s">
        <v>138</v>
      </c>
      <c r="AH41" t="s">
        <v>138</v>
      </c>
      <c r="AJ41" t="s">
        <v>97</v>
      </c>
      <c r="AK41">
        <v>3</v>
      </c>
      <c r="AL41">
        <v>2</v>
      </c>
      <c r="AM41">
        <v>4</v>
      </c>
      <c r="AN41" t="s">
        <v>120</v>
      </c>
      <c r="AO41">
        <v>4</v>
      </c>
      <c r="AP41">
        <v>3</v>
      </c>
      <c r="AQ41" t="s">
        <v>100</v>
      </c>
      <c r="AR41">
        <v>4</v>
      </c>
      <c r="AS41" t="s">
        <v>100</v>
      </c>
      <c r="AT41">
        <v>3</v>
      </c>
      <c r="AU41">
        <v>4</v>
      </c>
      <c r="AV41">
        <v>4</v>
      </c>
      <c r="AW41">
        <v>4</v>
      </c>
      <c r="AX41">
        <v>4</v>
      </c>
      <c r="AY41">
        <v>4</v>
      </c>
      <c r="AZ41" t="s">
        <v>100</v>
      </c>
      <c r="BA41">
        <v>3</v>
      </c>
      <c r="BB41">
        <v>2</v>
      </c>
      <c r="BC41" t="s">
        <v>100</v>
      </c>
      <c r="BD41" t="s">
        <v>100</v>
      </c>
      <c r="BE41">
        <v>4</v>
      </c>
      <c r="BF41">
        <v>3</v>
      </c>
      <c r="BG41" t="s">
        <v>100</v>
      </c>
      <c r="BH41">
        <v>3</v>
      </c>
      <c r="BI41">
        <v>4</v>
      </c>
      <c r="BJ41">
        <v>4</v>
      </c>
      <c r="BK41">
        <v>3</v>
      </c>
      <c r="BL41" t="s">
        <v>111</v>
      </c>
      <c r="BM41">
        <v>4</v>
      </c>
      <c r="BN41">
        <v>4</v>
      </c>
      <c r="BO41">
        <v>4</v>
      </c>
      <c r="BP41" t="s">
        <v>290</v>
      </c>
      <c r="BQ41">
        <v>457.62</v>
      </c>
      <c r="BR41">
        <v>85.91</v>
      </c>
      <c r="CE41">
        <v>371.71</v>
      </c>
    </row>
    <row r="42" spans="1:83" x14ac:dyDescent="0.35">
      <c r="A42">
        <v>375</v>
      </c>
      <c r="B42" t="s">
        <v>291</v>
      </c>
      <c r="C42">
        <v>2</v>
      </c>
      <c r="D42" t="s">
        <v>88</v>
      </c>
      <c r="E42">
        <v>1785591970</v>
      </c>
      <c r="F42" t="s">
        <v>292</v>
      </c>
      <c r="G42" t="s">
        <v>291</v>
      </c>
      <c r="H42" t="s">
        <v>293</v>
      </c>
      <c r="I42" t="s">
        <v>294</v>
      </c>
      <c r="J42" t="s">
        <v>93</v>
      </c>
      <c r="K42" t="s">
        <v>92</v>
      </c>
      <c r="L42" t="s">
        <v>93</v>
      </c>
      <c r="M42" t="s">
        <v>92</v>
      </c>
      <c r="N42" t="s">
        <v>92</v>
      </c>
      <c r="O42" t="s">
        <v>92</v>
      </c>
      <c r="Q42" t="s">
        <v>93</v>
      </c>
      <c r="S42" t="s">
        <v>119</v>
      </c>
      <c r="T42" t="s">
        <v>108</v>
      </c>
      <c r="U42" t="s">
        <v>92</v>
      </c>
      <c r="V42" t="s">
        <v>93</v>
      </c>
      <c r="W42" t="s">
        <v>92</v>
      </c>
      <c r="X42" t="s">
        <v>93</v>
      </c>
      <c r="Y42" t="s">
        <v>93</v>
      </c>
      <c r="Z42" t="s">
        <v>92</v>
      </c>
      <c r="AA42" t="s">
        <v>92</v>
      </c>
      <c r="AF42">
        <v>4</v>
      </c>
      <c r="AG42" t="s">
        <v>138</v>
      </c>
      <c r="AH42" t="s">
        <v>138</v>
      </c>
      <c r="AJ42" t="s">
        <v>110</v>
      </c>
      <c r="AK42" t="s">
        <v>98</v>
      </c>
      <c r="AL42">
        <v>2</v>
      </c>
      <c r="AM42">
        <v>3</v>
      </c>
      <c r="AN42" t="s">
        <v>120</v>
      </c>
      <c r="AO42">
        <v>3</v>
      </c>
      <c r="AP42">
        <v>3</v>
      </c>
      <c r="AQ42">
        <v>2</v>
      </c>
      <c r="AR42">
        <v>2</v>
      </c>
      <c r="AS42">
        <v>2</v>
      </c>
      <c r="AT42">
        <v>2</v>
      </c>
      <c r="AU42">
        <v>2</v>
      </c>
      <c r="AV42">
        <v>3</v>
      </c>
      <c r="AW42">
        <v>4</v>
      </c>
      <c r="AX42">
        <v>3</v>
      </c>
      <c r="AY42">
        <v>4</v>
      </c>
      <c r="AZ42">
        <v>4</v>
      </c>
      <c r="BA42">
        <v>4</v>
      </c>
      <c r="BB42">
        <v>4</v>
      </c>
      <c r="BC42">
        <v>2</v>
      </c>
      <c r="BD42">
        <v>2</v>
      </c>
      <c r="BE42">
        <v>2</v>
      </c>
      <c r="BF42">
        <v>2</v>
      </c>
      <c r="BG42">
        <v>2</v>
      </c>
      <c r="BH42">
        <v>3</v>
      </c>
      <c r="BI42">
        <v>4</v>
      </c>
      <c r="BJ42">
        <v>3</v>
      </c>
      <c r="BK42">
        <v>4</v>
      </c>
      <c r="BL42">
        <v>4</v>
      </c>
      <c r="BM42">
        <v>3</v>
      </c>
      <c r="BN42">
        <v>4</v>
      </c>
      <c r="BO42">
        <v>3</v>
      </c>
      <c r="BQ42">
        <v>387.72</v>
      </c>
      <c r="BR42">
        <v>212.87</v>
      </c>
      <c r="CE42">
        <v>174.85</v>
      </c>
    </row>
    <row r="43" spans="1:83" x14ac:dyDescent="0.35">
      <c r="A43">
        <v>376</v>
      </c>
      <c r="B43" t="s">
        <v>295</v>
      </c>
      <c r="C43">
        <v>2</v>
      </c>
      <c r="D43" t="s">
        <v>88</v>
      </c>
      <c r="E43">
        <v>1425968181</v>
      </c>
      <c r="F43" t="s">
        <v>296</v>
      </c>
      <c r="G43" t="s">
        <v>295</v>
      </c>
      <c r="H43" t="s">
        <v>297</v>
      </c>
      <c r="I43" t="s">
        <v>298</v>
      </c>
      <c r="J43" t="s">
        <v>93</v>
      </c>
      <c r="K43" t="s">
        <v>92</v>
      </c>
      <c r="L43" t="s">
        <v>93</v>
      </c>
      <c r="M43" t="s">
        <v>92</v>
      </c>
      <c r="N43" t="s">
        <v>92</v>
      </c>
      <c r="O43" t="s">
        <v>93</v>
      </c>
      <c r="Q43" t="s">
        <v>93</v>
      </c>
      <c r="S43" t="s">
        <v>119</v>
      </c>
      <c r="T43" t="s">
        <v>93</v>
      </c>
      <c r="U43" t="s">
        <v>92</v>
      </c>
      <c r="V43" t="s">
        <v>92</v>
      </c>
      <c r="W43" t="s">
        <v>92</v>
      </c>
      <c r="X43" t="s">
        <v>93</v>
      </c>
      <c r="Y43" t="s">
        <v>93</v>
      </c>
      <c r="Z43" t="s">
        <v>92</v>
      </c>
      <c r="AA43" t="s">
        <v>92</v>
      </c>
      <c r="AF43">
        <v>3</v>
      </c>
      <c r="AG43" t="s">
        <v>138</v>
      </c>
      <c r="AH43" t="s">
        <v>138</v>
      </c>
      <c r="AJ43" t="s">
        <v>110</v>
      </c>
      <c r="AK43" t="s">
        <v>98</v>
      </c>
      <c r="AL43" t="s">
        <v>98</v>
      </c>
      <c r="AM43">
        <v>3</v>
      </c>
      <c r="AN43" t="s">
        <v>120</v>
      </c>
      <c r="AO43">
        <v>4</v>
      </c>
      <c r="AP43" t="s">
        <v>100</v>
      </c>
      <c r="AQ43">
        <v>3</v>
      </c>
      <c r="AR43">
        <v>3</v>
      </c>
      <c r="AS43" t="s">
        <v>100</v>
      </c>
      <c r="AT43" t="s">
        <v>100</v>
      </c>
      <c r="AU43" t="s">
        <v>100</v>
      </c>
      <c r="AV43" t="s">
        <v>100</v>
      </c>
      <c r="AW43" t="s">
        <v>100</v>
      </c>
      <c r="AX43" t="s">
        <v>100</v>
      </c>
      <c r="AY43" t="s">
        <v>100</v>
      </c>
      <c r="AZ43" t="s">
        <v>100</v>
      </c>
      <c r="BA43">
        <v>2</v>
      </c>
      <c r="BB43">
        <v>4</v>
      </c>
      <c r="BC43">
        <v>3</v>
      </c>
      <c r="BD43" t="s">
        <v>100</v>
      </c>
      <c r="BE43">
        <v>3</v>
      </c>
      <c r="BF43" t="s">
        <v>100</v>
      </c>
      <c r="BG43" t="s">
        <v>100</v>
      </c>
      <c r="BH43" t="s">
        <v>100</v>
      </c>
      <c r="BI43" t="s">
        <v>111</v>
      </c>
      <c r="BJ43">
        <v>3</v>
      </c>
      <c r="BK43">
        <v>3</v>
      </c>
      <c r="BL43" t="s">
        <v>111</v>
      </c>
      <c r="BM43" t="s">
        <v>111</v>
      </c>
      <c r="BN43" t="s">
        <v>111</v>
      </c>
      <c r="BO43">
        <v>4</v>
      </c>
      <c r="BQ43">
        <v>195.64</v>
      </c>
      <c r="BR43">
        <v>62.18</v>
      </c>
      <c r="CE43">
        <v>133.46</v>
      </c>
    </row>
    <row r="44" spans="1:83" x14ac:dyDescent="0.35">
      <c r="A44">
        <v>377</v>
      </c>
      <c r="B44" t="s">
        <v>299</v>
      </c>
      <c r="C44">
        <v>2</v>
      </c>
      <c r="D44" t="s">
        <v>88</v>
      </c>
      <c r="E44">
        <v>326712527</v>
      </c>
      <c r="F44" t="s">
        <v>300</v>
      </c>
      <c r="G44" t="s">
        <v>299</v>
      </c>
      <c r="H44" t="s">
        <v>301</v>
      </c>
      <c r="I44" t="s">
        <v>302</v>
      </c>
      <c r="J44" t="s">
        <v>93</v>
      </c>
      <c r="K44" t="s">
        <v>92</v>
      </c>
      <c r="L44" t="s">
        <v>92</v>
      </c>
      <c r="M44" t="s">
        <v>92</v>
      </c>
      <c r="N44" t="s">
        <v>92</v>
      </c>
      <c r="O44" t="s">
        <v>93</v>
      </c>
      <c r="Q44" t="s">
        <v>92</v>
      </c>
      <c r="R44" t="s">
        <v>303</v>
      </c>
      <c r="S44" t="s">
        <v>119</v>
      </c>
      <c r="U44" t="s">
        <v>92</v>
      </c>
      <c r="V44" t="s">
        <v>93</v>
      </c>
      <c r="W44" t="s">
        <v>92</v>
      </c>
      <c r="X44" t="s">
        <v>92</v>
      </c>
      <c r="Y44" t="s">
        <v>93</v>
      </c>
      <c r="Z44" t="s">
        <v>93</v>
      </c>
      <c r="AA44" t="s">
        <v>93</v>
      </c>
      <c r="AJ44" t="s">
        <v>97</v>
      </c>
      <c r="AK44" t="s">
        <v>98</v>
      </c>
      <c r="AL44">
        <v>2</v>
      </c>
      <c r="AM44">
        <v>4</v>
      </c>
      <c r="AN44">
        <v>4</v>
      </c>
      <c r="AO44">
        <v>4</v>
      </c>
      <c r="AP44">
        <v>3</v>
      </c>
      <c r="AQ44">
        <v>3</v>
      </c>
      <c r="AR44">
        <v>4</v>
      </c>
      <c r="AS44">
        <v>2</v>
      </c>
      <c r="AT44">
        <v>2</v>
      </c>
      <c r="AU44" t="s">
        <v>100</v>
      </c>
      <c r="AV44">
        <v>4</v>
      </c>
      <c r="AW44" t="s">
        <v>100</v>
      </c>
      <c r="AX44" t="s">
        <v>100</v>
      </c>
      <c r="AY44" t="s">
        <v>100</v>
      </c>
      <c r="AZ44" t="s">
        <v>100</v>
      </c>
      <c r="BA44" t="s">
        <v>100</v>
      </c>
      <c r="BB44" t="s">
        <v>100</v>
      </c>
      <c r="BC44">
        <v>4</v>
      </c>
      <c r="BD44" t="s">
        <v>100</v>
      </c>
      <c r="BE44" t="s">
        <v>100</v>
      </c>
      <c r="BF44" t="s">
        <v>100</v>
      </c>
      <c r="BG44">
        <v>3</v>
      </c>
      <c r="BH44">
        <v>3</v>
      </c>
      <c r="BI44">
        <v>3</v>
      </c>
      <c r="BJ44">
        <v>4</v>
      </c>
      <c r="BK44">
        <v>4</v>
      </c>
      <c r="BL44" t="s">
        <v>111</v>
      </c>
      <c r="BM44">
        <v>3</v>
      </c>
      <c r="BN44">
        <v>4</v>
      </c>
      <c r="BO44">
        <v>4</v>
      </c>
      <c r="BQ44">
        <v>679.06</v>
      </c>
      <c r="BR44">
        <v>419.11</v>
      </c>
      <c r="CE44">
        <v>259.95</v>
      </c>
    </row>
    <row r="45" spans="1:83" x14ac:dyDescent="0.35">
      <c r="A45">
        <v>378</v>
      </c>
      <c r="B45" t="s">
        <v>304</v>
      </c>
      <c r="C45">
        <v>2</v>
      </c>
      <c r="D45" t="s">
        <v>88</v>
      </c>
      <c r="E45">
        <v>581600446</v>
      </c>
      <c r="F45" t="s">
        <v>305</v>
      </c>
      <c r="G45" t="s">
        <v>304</v>
      </c>
      <c r="H45" t="s">
        <v>306</v>
      </c>
      <c r="I45" t="s">
        <v>307</v>
      </c>
      <c r="J45" t="s">
        <v>93</v>
      </c>
      <c r="K45" t="s">
        <v>92</v>
      </c>
      <c r="L45" t="s">
        <v>92</v>
      </c>
      <c r="M45" t="s">
        <v>92</v>
      </c>
      <c r="N45" t="s">
        <v>92</v>
      </c>
      <c r="O45" t="s">
        <v>92</v>
      </c>
      <c r="Q45" t="s">
        <v>93</v>
      </c>
      <c r="S45" t="s">
        <v>119</v>
      </c>
      <c r="T45" t="s">
        <v>93</v>
      </c>
      <c r="U45" t="s">
        <v>92</v>
      </c>
      <c r="V45" t="s">
        <v>93</v>
      </c>
      <c r="W45" t="s">
        <v>92</v>
      </c>
      <c r="X45" t="s">
        <v>92</v>
      </c>
      <c r="Y45" t="s">
        <v>92</v>
      </c>
      <c r="Z45" t="s">
        <v>92</v>
      </c>
      <c r="AA45" t="s">
        <v>92</v>
      </c>
      <c r="AF45" t="s">
        <v>125</v>
      </c>
      <c r="AG45" t="s">
        <v>138</v>
      </c>
      <c r="AH45" t="s">
        <v>125</v>
      </c>
      <c r="AI45" t="s">
        <v>308</v>
      </c>
      <c r="AJ45" t="s">
        <v>110</v>
      </c>
      <c r="AK45" t="s">
        <v>98</v>
      </c>
      <c r="AL45">
        <v>2</v>
      </c>
      <c r="AM45">
        <v>4</v>
      </c>
      <c r="AN45" t="s">
        <v>120</v>
      </c>
      <c r="AO45">
        <v>3</v>
      </c>
      <c r="AP45">
        <v>3</v>
      </c>
      <c r="AQ45">
        <v>3</v>
      </c>
      <c r="AR45">
        <v>2</v>
      </c>
      <c r="AS45">
        <v>2</v>
      </c>
      <c r="AT45">
        <v>2</v>
      </c>
      <c r="AU45" t="s">
        <v>99</v>
      </c>
      <c r="AV45" t="s">
        <v>99</v>
      </c>
      <c r="AW45">
        <v>4</v>
      </c>
      <c r="AX45">
        <v>4</v>
      </c>
      <c r="AY45">
        <v>3</v>
      </c>
      <c r="AZ45">
        <v>4</v>
      </c>
      <c r="BA45" t="s">
        <v>100</v>
      </c>
      <c r="BB45" t="s">
        <v>100</v>
      </c>
      <c r="BC45" t="s">
        <v>100</v>
      </c>
      <c r="BD45" t="s">
        <v>100</v>
      </c>
      <c r="BE45">
        <v>3</v>
      </c>
      <c r="BF45">
        <v>3</v>
      </c>
      <c r="BG45">
        <v>2</v>
      </c>
      <c r="BH45">
        <v>2</v>
      </c>
      <c r="BI45" t="s">
        <v>111</v>
      </c>
      <c r="BJ45" t="s">
        <v>111</v>
      </c>
      <c r="BK45" t="s">
        <v>111</v>
      </c>
      <c r="BL45" t="s">
        <v>111</v>
      </c>
      <c r="BM45">
        <v>4</v>
      </c>
      <c r="BN45" t="s">
        <v>111</v>
      </c>
      <c r="BO45">
        <v>3</v>
      </c>
      <c r="BQ45">
        <v>191.57</v>
      </c>
      <c r="BR45">
        <v>89.5</v>
      </c>
      <c r="CE45">
        <v>102.07</v>
      </c>
    </row>
    <row r="46" spans="1:83" x14ac:dyDescent="0.35">
      <c r="A46">
        <v>379</v>
      </c>
      <c r="B46" t="s">
        <v>309</v>
      </c>
      <c r="C46">
        <v>2</v>
      </c>
      <c r="D46" t="s">
        <v>88</v>
      </c>
      <c r="E46">
        <v>1057958773</v>
      </c>
      <c r="F46" t="s">
        <v>310</v>
      </c>
      <c r="G46" t="s">
        <v>309</v>
      </c>
      <c r="H46" t="s">
        <v>311</v>
      </c>
      <c r="I46" t="s">
        <v>312</v>
      </c>
      <c r="J46" t="s">
        <v>93</v>
      </c>
      <c r="K46" t="s">
        <v>92</v>
      </c>
      <c r="L46" t="s">
        <v>92</v>
      </c>
      <c r="M46" t="s">
        <v>92</v>
      </c>
      <c r="N46" t="s">
        <v>92</v>
      </c>
      <c r="O46" t="s">
        <v>92</v>
      </c>
      <c r="Q46" t="s">
        <v>92</v>
      </c>
      <c r="R46" t="s">
        <v>313</v>
      </c>
      <c r="S46" t="s">
        <v>119</v>
      </c>
      <c r="U46" t="s">
        <v>93</v>
      </c>
      <c r="V46" t="s">
        <v>92</v>
      </c>
      <c r="W46" t="s">
        <v>92</v>
      </c>
      <c r="X46" t="s">
        <v>92</v>
      </c>
      <c r="Y46" t="s">
        <v>92</v>
      </c>
      <c r="Z46" t="s">
        <v>92</v>
      </c>
      <c r="AA46" t="s">
        <v>92</v>
      </c>
      <c r="AJ46" t="s">
        <v>97</v>
      </c>
      <c r="AK46">
        <v>2</v>
      </c>
      <c r="AL46">
        <v>2</v>
      </c>
      <c r="AM46">
        <v>4</v>
      </c>
      <c r="AN46" t="s">
        <v>120</v>
      </c>
      <c r="AO46">
        <v>4</v>
      </c>
      <c r="AP46">
        <v>4</v>
      </c>
      <c r="AQ46">
        <v>4</v>
      </c>
      <c r="AR46">
        <v>4</v>
      </c>
      <c r="AS46">
        <v>2</v>
      </c>
      <c r="AT46">
        <v>2</v>
      </c>
      <c r="AU46">
        <v>4</v>
      </c>
      <c r="AV46">
        <v>4</v>
      </c>
      <c r="AW46">
        <v>4</v>
      </c>
      <c r="AX46">
        <v>4</v>
      </c>
      <c r="AY46">
        <v>4</v>
      </c>
      <c r="AZ46">
        <v>4</v>
      </c>
      <c r="BA46">
        <v>4</v>
      </c>
      <c r="BB46">
        <v>4</v>
      </c>
      <c r="BC46">
        <v>4</v>
      </c>
      <c r="BD46">
        <v>4</v>
      </c>
      <c r="BE46">
        <v>3</v>
      </c>
      <c r="BF46">
        <v>4</v>
      </c>
      <c r="BG46" t="s">
        <v>99</v>
      </c>
      <c r="BH46" t="s">
        <v>99</v>
      </c>
      <c r="BI46">
        <v>4</v>
      </c>
      <c r="BJ46">
        <v>4</v>
      </c>
      <c r="BK46">
        <v>4</v>
      </c>
      <c r="BL46">
        <v>4</v>
      </c>
      <c r="BM46">
        <v>4</v>
      </c>
      <c r="BN46">
        <v>4</v>
      </c>
      <c r="BO46" t="s">
        <v>111</v>
      </c>
      <c r="BQ46">
        <v>170.44</v>
      </c>
      <c r="BR46">
        <v>67.02</v>
      </c>
      <c r="CE46">
        <v>103.42</v>
      </c>
    </row>
    <row r="47" spans="1:83" x14ac:dyDescent="0.35">
      <c r="A47">
        <v>380</v>
      </c>
      <c r="B47" t="s">
        <v>314</v>
      </c>
      <c r="C47">
        <v>2</v>
      </c>
      <c r="D47" t="s">
        <v>88</v>
      </c>
      <c r="E47">
        <v>360781903</v>
      </c>
      <c r="F47" t="s">
        <v>315</v>
      </c>
      <c r="G47" t="s">
        <v>314</v>
      </c>
      <c r="H47" t="s">
        <v>316</v>
      </c>
      <c r="I47" t="s">
        <v>317</v>
      </c>
      <c r="J47" t="s">
        <v>93</v>
      </c>
      <c r="K47" t="s">
        <v>92</v>
      </c>
      <c r="L47" t="s">
        <v>92</v>
      </c>
      <c r="M47" t="s">
        <v>92</v>
      </c>
      <c r="N47" t="s">
        <v>92</v>
      </c>
      <c r="O47" t="s">
        <v>92</v>
      </c>
      <c r="Q47" t="s">
        <v>93</v>
      </c>
      <c r="S47" t="s">
        <v>119</v>
      </c>
      <c r="T47" t="s">
        <v>92</v>
      </c>
      <c r="U47" t="s">
        <v>93</v>
      </c>
      <c r="V47" t="s">
        <v>93</v>
      </c>
      <c r="W47" t="s">
        <v>92</v>
      </c>
      <c r="X47" t="s">
        <v>92</v>
      </c>
      <c r="Y47" t="s">
        <v>93</v>
      </c>
      <c r="Z47" t="s">
        <v>92</v>
      </c>
      <c r="AA47" t="s">
        <v>92</v>
      </c>
      <c r="AF47">
        <v>3</v>
      </c>
      <c r="AG47">
        <v>3</v>
      </c>
      <c r="AH47">
        <v>3</v>
      </c>
      <c r="AJ47" t="s">
        <v>97</v>
      </c>
      <c r="AK47">
        <v>3</v>
      </c>
      <c r="AL47">
        <v>4</v>
      </c>
      <c r="AM47" t="s">
        <v>120</v>
      </c>
      <c r="AN47" t="s">
        <v>120</v>
      </c>
      <c r="AO47" t="s">
        <v>100</v>
      </c>
      <c r="AP47" t="s">
        <v>100</v>
      </c>
      <c r="AQ47">
        <v>2</v>
      </c>
      <c r="AR47">
        <v>3</v>
      </c>
      <c r="AS47">
        <v>3</v>
      </c>
      <c r="AT47">
        <v>4</v>
      </c>
      <c r="AU47">
        <v>4</v>
      </c>
      <c r="AV47" t="s">
        <v>100</v>
      </c>
      <c r="AW47" t="s">
        <v>100</v>
      </c>
      <c r="AX47">
        <v>3</v>
      </c>
      <c r="AY47">
        <v>4</v>
      </c>
      <c r="AZ47" t="s">
        <v>100</v>
      </c>
      <c r="BA47">
        <v>4</v>
      </c>
      <c r="BB47">
        <v>3</v>
      </c>
      <c r="BC47">
        <v>4</v>
      </c>
      <c r="BD47" t="s">
        <v>100</v>
      </c>
      <c r="BE47">
        <v>3</v>
      </c>
      <c r="BF47">
        <v>3</v>
      </c>
      <c r="BG47">
        <v>2</v>
      </c>
      <c r="BH47">
        <v>3</v>
      </c>
      <c r="BI47" t="s">
        <v>111</v>
      </c>
      <c r="BJ47" t="s">
        <v>111</v>
      </c>
      <c r="BK47" t="s">
        <v>111</v>
      </c>
      <c r="BL47" t="s">
        <v>111</v>
      </c>
      <c r="BM47" t="s">
        <v>111</v>
      </c>
      <c r="BN47" t="s">
        <v>111</v>
      </c>
      <c r="BO47" t="s">
        <v>111</v>
      </c>
      <c r="BQ47">
        <v>199.05</v>
      </c>
      <c r="BR47">
        <v>80.69</v>
      </c>
      <c r="CE47">
        <v>118.36</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0937-4446-43CF-BB3E-3CBC2B6CF928}">
  <dimension ref="A1:CG43"/>
  <sheetViews>
    <sheetView tabSelected="1" zoomScaleNormal="100" workbookViewId="0">
      <selection activeCell="H1" sqref="H1:I1048576"/>
    </sheetView>
  </sheetViews>
  <sheetFormatPr baseColWidth="10" defaultRowHeight="12.75" x14ac:dyDescent="0.35"/>
  <cols>
    <col min="16" max="16" width="21.86328125" customWidth="1"/>
    <col min="17" max="17" width="25.19921875" customWidth="1"/>
  </cols>
  <sheetData>
    <row r="1" spans="1:85" x14ac:dyDescent="0.35">
      <c r="A1" t="s">
        <v>0</v>
      </c>
      <c r="B1" t="s">
        <v>1</v>
      </c>
      <c r="C1" t="s">
        <v>2</v>
      </c>
      <c r="D1" t="s">
        <v>3</v>
      </c>
      <c r="E1" t="s">
        <v>4</v>
      </c>
      <c r="F1" t="s">
        <v>5</v>
      </c>
      <c r="G1" t="s">
        <v>6</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33</v>
      </c>
      <c r="AG1" t="s">
        <v>34</v>
      </c>
      <c r="AH1" t="s">
        <v>35</v>
      </c>
      <c r="AI1" t="s">
        <v>36</v>
      </c>
      <c r="AJ1" t="s">
        <v>37</v>
      </c>
      <c r="AK1" t="s">
        <v>38</v>
      </c>
      <c r="AL1" t="s">
        <v>39</v>
      </c>
      <c r="AM1" t="s">
        <v>40</v>
      </c>
      <c r="AN1" t="s">
        <v>41</v>
      </c>
      <c r="AO1" t="s">
        <v>42</v>
      </c>
      <c r="AP1" t="s">
        <v>43</v>
      </c>
      <c r="AQ1" t="s">
        <v>44</v>
      </c>
      <c r="AR1" t="s">
        <v>45</v>
      </c>
      <c r="AS1" t="s">
        <v>46</v>
      </c>
      <c r="AT1" t="s">
        <v>47</v>
      </c>
      <c r="AU1" t="s">
        <v>48</v>
      </c>
      <c r="AV1" t="s">
        <v>49</v>
      </c>
      <c r="AW1" t="s">
        <v>50</v>
      </c>
      <c r="AX1" t="s">
        <v>51</v>
      </c>
      <c r="AY1" t="s">
        <v>52</v>
      </c>
      <c r="AZ1" t="s">
        <v>53</v>
      </c>
      <c r="BA1" t="s">
        <v>54</v>
      </c>
      <c r="BB1" t="s">
        <v>55</v>
      </c>
      <c r="BC1" t="s">
        <v>56</v>
      </c>
      <c r="BD1" t="s">
        <v>57</v>
      </c>
      <c r="BE1" t="s">
        <v>58</v>
      </c>
      <c r="BF1" t="s">
        <v>59</v>
      </c>
      <c r="BG1" t="s">
        <v>60</v>
      </c>
      <c r="BH1" t="s">
        <v>61</v>
      </c>
      <c r="BI1" t="s">
        <v>62</v>
      </c>
      <c r="BJ1" t="s">
        <v>63</v>
      </c>
      <c r="BK1" t="s">
        <v>64</v>
      </c>
      <c r="BL1" t="s">
        <v>65</v>
      </c>
      <c r="BM1" t="s">
        <v>66</v>
      </c>
      <c r="BN1" t="s">
        <v>67</v>
      </c>
      <c r="BO1" t="s">
        <v>68</v>
      </c>
      <c r="BP1" t="s">
        <v>69</v>
      </c>
      <c r="BQ1" t="s">
        <v>70</v>
      </c>
      <c r="BR1" t="s">
        <v>71</v>
      </c>
      <c r="BS1" t="s">
        <v>72</v>
      </c>
      <c r="BT1" t="s">
        <v>73</v>
      </c>
      <c r="BU1" t="s">
        <v>74</v>
      </c>
      <c r="BV1" t="s">
        <v>75</v>
      </c>
      <c r="BW1" t="s">
        <v>76</v>
      </c>
      <c r="BX1" t="s">
        <v>77</v>
      </c>
      <c r="BY1" t="s">
        <v>78</v>
      </c>
      <c r="BZ1" t="s">
        <v>79</v>
      </c>
      <c r="CA1" t="s">
        <v>80</v>
      </c>
      <c r="CB1" t="s">
        <v>81</v>
      </c>
      <c r="CC1" t="s">
        <v>82</v>
      </c>
      <c r="CD1" t="s">
        <v>83</v>
      </c>
      <c r="CE1" t="s">
        <v>84</v>
      </c>
      <c r="CF1" t="s">
        <v>85</v>
      </c>
      <c r="CG1" t="s">
        <v>86</v>
      </c>
    </row>
    <row r="2" spans="1:85" x14ac:dyDescent="0.35">
      <c r="A2">
        <v>338</v>
      </c>
      <c r="B2" t="s">
        <v>114</v>
      </c>
      <c r="C2">
        <v>2</v>
      </c>
      <c r="D2" t="s">
        <v>88</v>
      </c>
      <c r="E2">
        <v>720902186</v>
      </c>
      <c r="F2" t="s">
        <v>115</v>
      </c>
      <c r="G2" t="s">
        <v>114</v>
      </c>
      <c r="H2" t="s">
        <v>93</v>
      </c>
      <c r="I2" t="s">
        <v>92</v>
      </c>
      <c r="J2" t="s">
        <v>92</v>
      </c>
      <c r="K2" t="s">
        <v>92</v>
      </c>
      <c r="L2" t="s">
        <v>93</v>
      </c>
      <c r="M2" t="s">
        <v>93</v>
      </c>
      <c r="O2" t="s">
        <v>92</v>
      </c>
      <c r="P2" t="s">
        <v>118</v>
      </c>
      <c r="Q2" t="s">
        <v>119</v>
      </c>
      <c r="S2" t="s">
        <v>93</v>
      </c>
      <c r="T2" t="s">
        <v>93</v>
      </c>
      <c r="U2" t="s">
        <v>92</v>
      </c>
      <c r="V2" t="s">
        <v>92</v>
      </c>
      <c r="W2" t="s">
        <v>93</v>
      </c>
      <c r="X2" t="s">
        <v>92</v>
      </c>
      <c r="Y2" t="s">
        <v>92</v>
      </c>
      <c r="AH2" t="s">
        <v>97</v>
      </c>
      <c r="AI2">
        <v>2</v>
      </c>
      <c r="AJ2">
        <v>3</v>
      </c>
      <c r="AK2">
        <v>4</v>
      </c>
      <c r="AL2" t="s">
        <v>120</v>
      </c>
      <c r="AM2">
        <v>4</v>
      </c>
      <c r="AN2">
        <v>4</v>
      </c>
      <c r="AO2" t="s">
        <v>99</v>
      </c>
      <c r="AP2" t="s">
        <v>99</v>
      </c>
      <c r="AQ2">
        <v>4</v>
      </c>
      <c r="AR2">
        <v>3</v>
      </c>
      <c r="AS2">
        <v>3</v>
      </c>
      <c r="AT2">
        <v>2</v>
      </c>
      <c r="AU2">
        <v>4</v>
      </c>
      <c r="AV2" t="s">
        <v>100</v>
      </c>
      <c r="AW2">
        <v>4</v>
      </c>
      <c r="AX2">
        <v>4</v>
      </c>
      <c r="AY2" t="s">
        <v>100</v>
      </c>
      <c r="AZ2">
        <v>3</v>
      </c>
      <c r="BA2">
        <v>2</v>
      </c>
      <c r="BB2" t="s">
        <v>100</v>
      </c>
      <c r="BC2" t="s">
        <v>100</v>
      </c>
      <c r="BD2" t="s">
        <v>100</v>
      </c>
      <c r="BE2">
        <v>4</v>
      </c>
      <c r="BF2" t="s">
        <v>100</v>
      </c>
      <c r="BG2">
        <v>2</v>
      </c>
      <c r="BH2" t="s">
        <v>111</v>
      </c>
      <c r="BI2">
        <v>4</v>
      </c>
      <c r="BJ2">
        <v>4</v>
      </c>
      <c r="BK2" t="s">
        <v>111</v>
      </c>
      <c r="BL2" t="s">
        <v>111</v>
      </c>
      <c r="BM2" t="s">
        <v>111</v>
      </c>
      <c r="BO2">
        <v>831.02</v>
      </c>
      <c r="BP2">
        <v>274.10000000000002</v>
      </c>
      <c r="CC2">
        <v>556.91999999999996</v>
      </c>
    </row>
    <row r="3" spans="1:85" x14ac:dyDescent="0.35">
      <c r="A3">
        <v>339</v>
      </c>
      <c r="B3" t="s">
        <v>121</v>
      </c>
      <c r="C3">
        <v>2</v>
      </c>
      <c r="D3" t="s">
        <v>88</v>
      </c>
      <c r="E3">
        <v>1047540952</v>
      </c>
      <c r="F3" t="s">
        <v>122</v>
      </c>
      <c r="G3" t="s">
        <v>121</v>
      </c>
      <c r="H3" t="s">
        <v>93</v>
      </c>
      <c r="I3" t="s">
        <v>92</v>
      </c>
      <c r="J3" t="s">
        <v>93</v>
      </c>
      <c r="K3" t="s">
        <v>92</v>
      </c>
      <c r="L3" t="s">
        <v>92</v>
      </c>
      <c r="M3" t="s">
        <v>93</v>
      </c>
      <c r="O3" t="s">
        <v>93</v>
      </c>
      <c r="Q3" t="s">
        <v>119</v>
      </c>
      <c r="R3" t="s">
        <v>108</v>
      </c>
      <c r="S3" t="s">
        <v>92</v>
      </c>
      <c r="T3" t="s">
        <v>92</v>
      </c>
      <c r="U3" t="s">
        <v>93</v>
      </c>
      <c r="V3" t="s">
        <v>92</v>
      </c>
      <c r="W3" t="s">
        <v>93</v>
      </c>
      <c r="X3" t="s">
        <v>93</v>
      </c>
      <c r="Y3" t="s">
        <v>92</v>
      </c>
      <c r="AD3">
        <v>4</v>
      </c>
      <c r="AE3">
        <v>2</v>
      </c>
      <c r="AF3" t="s">
        <v>125</v>
      </c>
      <c r="AH3" t="s">
        <v>97</v>
      </c>
      <c r="AI3">
        <v>2</v>
      </c>
      <c r="AJ3">
        <v>3</v>
      </c>
      <c r="AK3">
        <v>3</v>
      </c>
      <c r="AL3">
        <v>4</v>
      </c>
      <c r="AM3">
        <v>4</v>
      </c>
      <c r="AN3">
        <v>4</v>
      </c>
      <c r="AO3">
        <v>3</v>
      </c>
      <c r="AP3">
        <v>4</v>
      </c>
      <c r="AQ3">
        <v>2</v>
      </c>
      <c r="AR3">
        <v>2</v>
      </c>
      <c r="AS3">
        <v>3</v>
      </c>
      <c r="AT3">
        <v>3</v>
      </c>
      <c r="AU3">
        <v>4</v>
      </c>
      <c r="AV3" t="s">
        <v>100</v>
      </c>
      <c r="AW3">
        <v>4</v>
      </c>
      <c r="AX3" t="s">
        <v>100</v>
      </c>
      <c r="AY3" t="s">
        <v>100</v>
      </c>
      <c r="AZ3" t="s">
        <v>100</v>
      </c>
      <c r="BA3">
        <v>4</v>
      </c>
      <c r="BB3">
        <v>4</v>
      </c>
      <c r="BC3">
        <v>2</v>
      </c>
      <c r="BD3">
        <v>3</v>
      </c>
      <c r="BE3">
        <v>3</v>
      </c>
      <c r="BF3">
        <v>2</v>
      </c>
      <c r="BG3">
        <v>3</v>
      </c>
      <c r="BH3">
        <v>3</v>
      </c>
      <c r="BI3">
        <v>2</v>
      </c>
      <c r="BJ3">
        <v>3</v>
      </c>
      <c r="BK3">
        <v>4</v>
      </c>
      <c r="BL3">
        <v>4</v>
      </c>
      <c r="BM3">
        <v>4</v>
      </c>
      <c r="BO3">
        <v>231.56</v>
      </c>
      <c r="BP3">
        <v>94.66</v>
      </c>
      <c r="CC3">
        <v>136.9</v>
      </c>
    </row>
    <row r="4" spans="1:85" x14ac:dyDescent="0.35">
      <c r="A4">
        <v>340</v>
      </c>
      <c r="B4" t="s">
        <v>126</v>
      </c>
      <c r="C4">
        <v>2</v>
      </c>
      <c r="D4" t="s">
        <v>88</v>
      </c>
      <c r="E4">
        <v>917163635</v>
      </c>
      <c r="F4" t="s">
        <v>127</v>
      </c>
      <c r="G4" t="s">
        <v>126</v>
      </c>
      <c r="H4" t="s">
        <v>93</v>
      </c>
      <c r="I4" t="s">
        <v>92</v>
      </c>
      <c r="J4" t="s">
        <v>92</v>
      </c>
      <c r="K4" t="s">
        <v>92</v>
      </c>
      <c r="L4" t="s">
        <v>92</v>
      </c>
      <c r="M4" t="s">
        <v>92</v>
      </c>
      <c r="O4" t="s">
        <v>92</v>
      </c>
      <c r="P4" t="s">
        <v>130</v>
      </c>
      <c r="Q4" t="s">
        <v>95</v>
      </c>
      <c r="S4" t="s">
        <v>92</v>
      </c>
      <c r="T4" t="s">
        <v>93</v>
      </c>
      <c r="U4" t="s">
        <v>92</v>
      </c>
      <c r="V4" t="s">
        <v>92</v>
      </c>
      <c r="W4" t="s">
        <v>93</v>
      </c>
      <c r="X4" t="s">
        <v>92</v>
      </c>
      <c r="Y4" t="s">
        <v>92</v>
      </c>
      <c r="Z4" t="s">
        <v>131</v>
      </c>
      <c r="AG4" t="s">
        <v>132</v>
      </c>
      <c r="AH4" t="s">
        <v>110</v>
      </c>
      <c r="AI4">
        <v>3</v>
      </c>
      <c r="AJ4">
        <v>4</v>
      </c>
      <c r="AK4" t="s">
        <v>120</v>
      </c>
      <c r="AL4">
        <v>2</v>
      </c>
      <c r="AM4">
        <v>4</v>
      </c>
      <c r="AN4">
        <v>4</v>
      </c>
      <c r="AO4">
        <v>4</v>
      </c>
      <c r="AP4" t="s">
        <v>100</v>
      </c>
      <c r="AQ4">
        <v>3</v>
      </c>
      <c r="AR4">
        <v>2</v>
      </c>
      <c r="AS4">
        <v>4</v>
      </c>
      <c r="AT4" t="s">
        <v>100</v>
      </c>
      <c r="AU4" t="s">
        <v>100</v>
      </c>
      <c r="AV4" t="s">
        <v>100</v>
      </c>
      <c r="AW4" t="s">
        <v>100</v>
      </c>
      <c r="AX4" t="s">
        <v>100</v>
      </c>
      <c r="AY4">
        <v>4</v>
      </c>
      <c r="AZ4" t="s">
        <v>99</v>
      </c>
      <c r="BA4">
        <v>4</v>
      </c>
      <c r="BB4">
        <v>2</v>
      </c>
      <c r="BC4">
        <v>3</v>
      </c>
      <c r="BD4">
        <v>3</v>
      </c>
      <c r="BE4">
        <v>4</v>
      </c>
      <c r="BF4" t="s">
        <v>100</v>
      </c>
      <c r="BG4" t="s">
        <v>111</v>
      </c>
      <c r="BH4" t="s">
        <v>111</v>
      </c>
      <c r="BI4" t="s">
        <v>111</v>
      </c>
      <c r="BJ4" t="s">
        <v>111</v>
      </c>
      <c r="BK4" t="s">
        <v>111</v>
      </c>
      <c r="BL4" t="s">
        <v>111</v>
      </c>
      <c r="BM4" t="s">
        <v>111</v>
      </c>
      <c r="BO4">
        <v>1644.75</v>
      </c>
      <c r="BP4">
        <v>1306.21</v>
      </c>
      <c r="CC4">
        <v>338.54</v>
      </c>
    </row>
    <row r="5" spans="1:85" x14ac:dyDescent="0.35">
      <c r="A5">
        <v>342</v>
      </c>
      <c r="B5" t="s">
        <v>134</v>
      </c>
      <c r="C5">
        <v>2</v>
      </c>
      <c r="D5" t="s">
        <v>88</v>
      </c>
      <c r="E5">
        <v>598318479</v>
      </c>
      <c r="F5" t="s">
        <v>135</v>
      </c>
      <c r="G5" t="s">
        <v>134</v>
      </c>
      <c r="H5" t="s">
        <v>93</v>
      </c>
      <c r="I5" t="s">
        <v>92</v>
      </c>
      <c r="J5" t="s">
        <v>93</v>
      </c>
      <c r="K5" t="s">
        <v>92</v>
      </c>
      <c r="L5" t="s">
        <v>93</v>
      </c>
      <c r="M5" t="s">
        <v>93</v>
      </c>
      <c r="O5" t="s">
        <v>93</v>
      </c>
      <c r="Q5" t="s">
        <v>119</v>
      </c>
      <c r="R5" t="s">
        <v>108</v>
      </c>
      <c r="S5" t="s">
        <v>93</v>
      </c>
      <c r="T5" t="s">
        <v>92</v>
      </c>
      <c r="U5" t="s">
        <v>92</v>
      </c>
      <c r="V5" t="s">
        <v>92</v>
      </c>
      <c r="W5" t="s">
        <v>92</v>
      </c>
      <c r="X5" t="s">
        <v>93</v>
      </c>
      <c r="Y5" t="s">
        <v>93</v>
      </c>
      <c r="AD5">
        <v>4</v>
      </c>
      <c r="AE5" t="s">
        <v>138</v>
      </c>
      <c r="AF5" t="s">
        <v>138</v>
      </c>
      <c r="AH5" t="s">
        <v>97</v>
      </c>
      <c r="AI5">
        <v>4</v>
      </c>
      <c r="AJ5">
        <v>3</v>
      </c>
      <c r="AK5" t="s">
        <v>120</v>
      </c>
      <c r="AL5" t="s">
        <v>120</v>
      </c>
      <c r="AM5">
        <v>4</v>
      </c>
      <c r="AN5">
        <v>4</v>
      </c>
      <c r="AO5">
        <v>2</v>
      </c>
      <c r="AP5">
        <v>2</v>
      </c>
      <c r="AQ5">
        <v>3</v>
      </c>
      <c r="AR5">
        <v>3</v>
      </c>
      <c r="AS5">
        <v>4</v>
      </c>
      <c r="AT5" t="s">
        <v>100</v>
      </c>
      <c r="AU5">
        <v>4</v>
      </c>
      <c r="AV5">
        <v>4</v>
      </c>
      <c r="AW5">
        <v>4</v>
      </c>
      <c r="AX5">
        <v>4</v>
      </c>
      <c r="AY5">
        <v>2</v>
      </c>
      <c r="AZ5">
        <v>3</v>
      </c>
      <c r="BA5">
        <v>3</v>
      </c>
      <c r="BB5" t="s">
        <v>100</v>
      </c>
      <c r="BC5">
        <v>2</v>
      </c>
      <c r="BD5">
        <v>3</v>
      </c>
      <c r="BE5">
        <v>3</v>
      </c>
      <c r="BF5">
        <v>3</v>
      </c>
      <c r="BG5">
        <v>4</v>
      </c>
      <c r="BH5">
        <v>4</v>
      </c>
      <c r="BI5">
        <v>3</v>
      </c>
      <c r="BJ5" t="s">
        <v>111</v>
      </c>
      <c r="BK5">
        <v>3</v>
      </c>
      <c r="BL5">
        <v>4</v>
      </c>
      <c r="BM5">
        <v>3</v>
      </c>
      <c r="BO5">
        <v>228.1</v>
      </c>
      <c r="BP5">
        <v>82.19</v>
      </c>
      <c r="CC5">
        <v>145.91</v>
      </c>
    </row>
    <row r="6" spans="1:85" x14ac:dyDescent="0.35">
      <c r="A6">
        <v>343</v>
      </c>
      <c r="B6" t="s">
        <v>139</v>
      </c>
      <c r="C6">
        <v>2</v>
      </c>
      <c r="D6" t="s">
        <v>88</v>
      </c>
      <c r="E6">
        <v>26500730</v>
      </c>
      <c r="F6" t="s">
        <v>140</v>
      </c>
      <c r="G6" t="s">
        <v>139</v>
      </c>
      <c r="H6" t="s">
        <v>93</v>
      </c>
      <c r="I6" t="s">
        <v>92</v>
      </c>
      <c r="J6" t="s">
        <v>92</v>
      </c>
      <c r="K6" t="s">
        <v>92</v>
      </c>
      <c r="L6" t="s">
        <v>92</v>
      </c>
      <c r="M6" t="s">
        <v>92</v>
      </c>
      <c r="O6" t="s">
        <v>92</v>
      </c>
      <c r="P6" t="s">
        <v>143</v>
      </c>
      <c r="Q6" t="s">
        <v>119</v>
      </c>
      <c r="S6" t="s">
        <v>93</v>
      </c>
      <c r="T6" t="s">
        <v>93</v>
      </c>
      <c r="U6" t="s">
        <v>92</v>
      </c>
      <c r="V6" t="s">
        <v>92</v>
      </c>
      <c r="W6" t="s">
        <v>93</v>
      </c>
      <c r="X6" t="s">
        <v>93</v>
      </c>
      <c r="Y6" t="s">
        <v>92</v>
      </c>
      <c r="AG6" t="s">
        <v>144</v>
      </c>
      <c r="AH6" t="s">
        <v>97</v>
      </c>
      <c r="AI6" t="s">
        <v>98</v>
      </c>
      <c r="AJ6" t="s">
        <v>98</v>
      </c>
      <c r="AK6">
        <v>3</v>
      </c>
      <c r="AL6" t="s">
        <v>120</v>
      </c>
      <c r="AM6" t="s">
        <v>100</v>
      </c>
      <c r="AN6" t="s">
        <v>100</v>
      </c>
      <c r="AO6">
        <v>4</v>
      </c>
      <c r="AP6">
        <v>3</v>
      </c>
      <c r="AQ6">
        <v>3</v>
      </c>
      <c r="AR6">
        <v>3</v>
      </c>
      <c r="AS6" t="s">
        <v>100</v>
      </c>
      <c r="AT6">
        <v>2</v>
      </c>
      <c r="AU6" t="s">
        <v>100</v>
      </c>
      <c r="AV6" t="s">
        <v>100</v>
      </c>
      <c r="AW6">
        <v>4</v>
      </c>
      <c r="AX6">
        <v>4</v>
      </c>
      <c r="AY6" t="s">
        <v>100</v>
      </c>
      <c r="AZ6" t="s">
        <v>100</v>
      </c>
      <c r="BA6" t="s">
        <v>100</v>
      </c>
      <c r="BB6">
        <v>4</v>
      </c>
      <c r="BC6" t="s">
        <v>100</v>
      </c>
      <c r="BD6">
        <v>4</v>
      </c>
      <c r="BE6" t="s">
        <v>100</v>
      </c>
      <c r="BF6" t="s">
        <v>100</v>
      </c>
      <c r="BG6" t="s">
        <v>111</v>
      </c>
      <c r="BH6">
        <v>4</v>
      </c>
      <c r="BI6">
        <v>2</v>
      </c>
      <c r="BJ6" t="s">
        <v>111</v>
      </c>
      <c r="BK6" t="s">
        <v>111</v>
      </c>
      <c r="BL6" t="s">
        <v>111</v>
      </c>
      <c r="BM6">
        <v>4</v>
      </c>
      <c r="BN6" t="s">
        <v>145</v>
      </c>
      <c r="BO6">
        <v>920.13</v>
      </c>
      <c r="BP6">
        <v>296.20999999999998</v>
      </c>
      <c r="CC6">
        <v>623.91999999999996</v>
      </c>
    </row>
    <row r="7" spans="1:85" x14ac:dyDescent="0.35">
      <c r="A7">
        <v>344</v>
      </c>
      <c r="B7" t="s">
        <v>146</v>
      </c>
      <c r="C7">
        <v>2</v>
      </c>
      <c r="D7" t="s">
        <v>88</v>
      </c>
      <c r="E7">
        <v>14610216</v>
      </c>
      <c r="F7" t="s">
        <v>147</v>
      </c>
      <c r="G7" t="s">
        <v>146</v>
      </c>
      <c r="H7" t="s">
        <v>93</v>
      </c>
      <c r="I7" t="s">
        <v>92</v>
      </c>
      <c r="J7" t="s">
        <v>92</v>
      </c>
      <c r="K7" t="s">
        <v>92</v>
      </c>
      <c r="L7" t="s">
        <v>93</v>
      </c>
      <c r="M7" t="s">
        <v>92</v>
      </c>
      <c r="O7" t="s">
        <v>93</v>
      </c>
      <c r="Q7" t="s">
        <v>95</v>
      </c>
      <c r="R7" t="s">
        <v>108</v>
      </c>
      <c r="S7" t="s">
        <v>92</v>
      </c>
      <c r="T7" t="s">
        <v>93</v>
      </c>
      <c r="U7" t="s">
        <v>92</v>
      </c>
      <c r="V7" t="s">
        <v>92</v>
      </c>
      <c r="W7" t="s">
        <v>93</v>
      </c>
      <c r="X7" t="s">
        <v>93</v>
      </c>
      <c r="Y7" t="s">
        <v>92</v>
      </c>
      <c r="AD7">
        <v>4</v>
      </c>
      <c r="AE7" t="s">
        <v>138</v>
      </c>
      <c r="AF7">
        <v>4</v>
      </c>
      <c r="AH7" t="s">
        <v>110</v>
      </c>
      <c r="AI7">
        <v>3</v>
      </c>
      <c r="AJ7">
        <v>4</v>
      </c>
      <c r="AK7" t="s">
        <v>120</v>
      </c>
      <c r="AL7" t="s">
        <v>120</v>
      </c>
      <c r="AM7">
        <v>4</v>
      </c>
      <c r="AN7">
        <v>4</v>
      </c>
      <c r="AO7">
        <v>2</v>
      </c>
      <c r="AP7">
        <v>2</v>
      </c>
      <c r="AQ7">
        <v>3</v>
      </c>
      <c r="AR7">
        <v>3</v>
      </c>
      <c r="AS7">
        <v>3</v>
      </c>
      <c r="AT7">
        <v>3</v>
      </c>
      <c r="AU7">
        <v>4</v>
      </c>
      <c r="AV7">
        <v>3</v>
      </c>
      <c r="AW7">
        <v>4</v>
      </c>
      <c r="AX7">
        <v>4</v>
      </c>
      <c r="AY7">
        <v>3</v>
      </c>
      <c r="AZ7" t="s">
        <v>100</v>
      </c>
      <c r="BA7">
        <v>3</v>
      </c>
      <c r="BB7">
        <v>4</v>
      </c>
      <c r="BC7">
        <v>4</v>
      </c>
      <c r="BD7">
        <v>4</v>
      </c>
      <c r="BE7">
        <v>4</v>
      </c>
      <c r="BF7" t="s">
        <v>100</v>
      </c>
      <c r="BG7" t="s">
        <v>111</v>
      </c>
      <c r="BH7" t="s">
        <v>111</v>
      </c>
      <c r="BI7" t="s">
        <v>111</v>
      </c>
      <c r="BJ7" t="s">
        <v>111</v>
      </c>
      <c r="BK7" t="s">
        <v>111</v>
      </c>
      <c r="BL7" t="s">
        <v>111</v>
      </c>
      <c r="BM7" t="s">
        <v>111</v>
      </c>
      <c r="BO7">
        <v>320.23</v>
      </c>
      <c r="BP7">
        <v>146.78</v>
      </c>
      <c r="CC7">
        <v>173.45</v>
      </c>
    </row>
    <row r="8" spans="1:85" x14ac:dyDescent="0.35">
      <c r="A8">
        <v>345</v>
      </c>
      <c r="B8" t="s">
        <v>150</v>
      </c>
      <c r="C8">
        <v>2</v>
      </c>
      <c r="D8" t="s">
        <v>88</v>
      </c>
      <c r="E8">
        <v>2092713986</v>
      </c>
      <c r="F8" t="s">
        <v>151</v>
      </c>
      <c r="G8" t="s">
        <v>150</v>
      </c>
      <c r="H8" t="s">
        <v>93</v>
      </c>
      <c r="I8" t="s">
        <v>92</v>
      </c>
      <c r="J8" t="s">
        <v>92</v>
      </c>
      <c r="K8" t="s">
        <v>92</v>
      </c>
      <c r="L8" t="s">
        <v>92</v>
      </c>
      <c r="M8" t="s">
        <v>93</v>
      </c>
      <c r="O8" t="s">
        <v>93</v>
      </c>
      <c r="Q8" t="s">
        <v>119</v>
      </c>
      <c r="R8" t="s">
        <v>108</v>
      </c>
      <c r="S8" t="s">
        <v>93</v>
      </c>
      <c r="T8" t="s">
        <v>93</v>
      </c>
      <c r="U8" t="s">
        <v>92</v>
      </c>
      <c r="V8" t="s">
        <v>92</v>
      </c>
      <c r="W8" t="s">
        <v>93</v>
      </c>
      <c r="X8" t="s">
        <v>92</v>
      </c>
      <c r="Y8" t="s">
        <v>92</v>
      </c>
      <c r="AD8">
        <v>3</v>
      </c>
      <c r="AE8" t="s">
        <v>138</v>
      </c>
      <c r="AF8">
        <v>3</v>
      </c>
      <c r="AG8" t="s">
        <v>154</v>
      </c>
      <c r="AH8" t="s">
        <v>97</v>
      </c>
      <c r="AI8">
        <v>2</v>
      </c>
      <c r="AJ8">
        <v>3</v>
      </c>
      <c r="AK8" t="s">
        <v>120</v>
      </c>
      <c r="AL8" t="s">
        <v>120</v>
      </c>
      <c r="AM8">
        <v>4</v>
      </c>
      <c r="AN8">
        <v>4</v>
      </c>
      <c r="AO8">
        <v>3</v>
      </c>
      <c r="AP8">
        <v>3</v>
      </c>
      <c r="AQ8" t="s">
        <v>100</v>
      </c>
      <c r="AR8" t="s">
        <v>100</v>
      </c>
      <c r="AS8">
        <v>4</v>
      </c>
      <c r="AT8" t="s">
        <v>100</v>
      </c>
      <c r="AU8">
        <v>4</v>
      </c>
      <c r="AV8">
        <v>3</v>
      </c>
      <c r="AW8">
        <v>3</v>
      </c>
      <c r="AX8">
        <v>3</v>
      </c>
      <c r="AY8" t="s">
        <v>100</v>
      </c>
      <c r="AZ8">
        <v>3</v>
      </c>
      <c r="BA8">
        <v>4</v>
      </c>
      <c r="BB8" t="s">
        <v>100</v>
      </c>
      <c r="BC8">
        <v>4</v>
      </c>
      <c r="BD8">
        <v>4</v>
      </c>
      <c r="BE8">
        <v>2</v>
      </c>
      <c r="BF8" t="s">
        <v>99</v>
      </c>
      <c r="BG8" t="s">
        <v>111</v>
      </c>
      <c r="BH8" t="s">
        <v>111</v>
      </c>
      <c r="BI8" t="s">
        <v>111</v>
      </c>
      <c r="BJ8" t="s">
        <v>111</v>
      </c>
      <c r="BK8">
        <v>4</v>
      </c>
      <c r="BL8" t="s">
        <v>111</v>
      </c>
      <c r="BM8">
        <v>4</v>
      </c>
      <c r="BN8" t="s">
        <v>155</v>
      </c>
      <c r="BO8">
        <v>703.44</v>
      </c>
      <c r="BP8">
        <v>201.12</v>
      </c>
      <c r="CC8">
        <v>502.32</v>
      </c>
    </row>
    <row r="9" spans="1:85" x14ac:dyDescent="0.35">
      <c r="A9">
        <v>346</v>
      </c>
      <c r="B9" t="s">
        <v>156</v>
      </c>
      <c r="C9">
        <v>2</v>
      </c>
      <c r="D9" t="s">
        <v>88</v>
      </c>
      <c r="E9">
        <v>323647150</v>
      </c>
      <c r="F9" t="s">
        <v>157</v>
      </c>
      <c r="G9" t="s">
        <v>156</v>
      </c>
      <c r="H9" t="s">
        <v>93</v>
      </c>
      <c r="I9" t="s">
        <v>92</v>
      </c>
      <c r="J9" t="s">
        <v>93</v>
      </c>
      <c r="K9" t="s">
        <v>92</v>
      </c>
      <c r="L9" t="s">
        <v>93</v>
      </c>
      <c r="M9" t="s">
        <v>93</v>
      </c>
      <c r="O9" t="s">
        <v>92</v>
      </c>
      <c r="P9" t="s">
        <v>160</v>
      </c>
      <c r="Q9" t="s">
        <v>95</v>
      </c>
      <c r="S9" t="s">
        <v>93</v>
      </c>
      <c r="T9" t="s">
        <v>93</v>
      </c>
      <c r="U9" t="s">
        <v>92</v>
      </c>
      <c r="V9" t="s">
        <v>92</v>
      </c>
      <c r="W9" t="s">
        <v>93</v>
      </c>
      <c r="X9" t="s">
        <v>92</v>
      </c>
      <c r="Y9" t="s">
        <v>92</v>
      </c>
      <c r="AG9" t="s">
        <v>161</v>
      </c>
      <c r="AH9" t="s">
        <v>97</v>
      </c>
      <c r="AI9" t="s">
        <v>98</v>
      </c>
      <c r="AJ9">
        <v>2</v>
      </c>
      <c r="AK9">
        <v>3</v>
      </c>
      <c r="AL9" t="s">
        <v>120</v>
      </c>
      <c r="AM9">
        <v>4</v>
      </c>
      <c r="AN9">
        <v>4</v>
      </c>
      <c r="AO9">
        <v>3</v>
      </c>
      <c r="AP9">
        <v>2</v>
      </c>
      <c r="AQ9" t="s">
        <v>100</v>
      </c>
      <c r="AR9" t="s">
        <v>100</v>
      </c>
      <c r="AS9">
        <v>3</v>
      </c>
      <c r="AT9">
        <v>3</v>
      </c>
      <c r="AU9">
        <v>4</v>
      </c>
      <c r="AV9">
        <v>4</v>
      </c>
      <c r="AW9">
        <v>4</v>
      </c>
      <c r="AX9">
        <v>4</v>
      </c>
      <c r="AY9">
        <v>4</v>
      </c>
      <c r="AZ9">
        <v>4</v>
      </c>
      <c r="BA9">
        <v>3</v>
      </c>
      <c r="BB9">
        <v>2</v>
      </c>
      <c r="BC9">
        <v>4</v>
      </c>
      <c r="BD9">
        <v>3</v>
      </c>
      <c r="BE9">
        <v>3</v>
      </c>
      <c r="BF9" t="s">
        <v>100</v>
      </c>
      <c r="BG9">
        <v>4</v>
      </c>
      <c r="BH9" t="s">
        <v>111</v>
      </c>
      <c r="BI9">
        <v>4</v>
      </c>
      <c r="BJ9" t="s">
        <v>111</v>
      </c>
      <c r="BK9">
        <v>4</v>
      </c>
      <c r="BL9" t="s">
        <v>111</v>
      </c>
      <c r="BM9" t="s">
        <v>111</v>
      </c>
      <c r="BO9">
        <v>581.88</v>
      </c>
      <c r="BP9">
        <v>238.37</v>
      </c>
      <c r="CC9">
        <v>343.51</v>
      </c>
    </row>
    <row r="10" spans="1:85" x14ac:dyDescent="0.35">
      <c r="A10">
        <v>347</v>
      </c>
      <c r="B10" t="s">
        <v>162</v>
      </c>
      <c r="C10">
        <v>2</v>
      </c>
      <c r="D10" t="s">
        <v>88</v>
      </c>
      <c r="E10">
        <v>1450189715</v>
      </c>
      <c r="F10" t="s">
        <v>163</v>
      </c>
      <c r="G10" t="s">
        <v>162</v>
      </c>
      <c r="H10" t="s">
        <v>93</v>
      </c>
      <c r="I10" t="s">
        <v>92</v>
      </c>
      <c r="J10" t="s">
        <v>92</v>
      </c>
      <c r="K10" t="s">
        <v>92</v>
      </c>
      <c r="L10" t="s">
        <v>93</v>
      </c>
      <c r="M10" t="s">
        <v>93</v>
      </c>
      <c r="N10" t="s">
        <v>166</v>
      </c>
      <c r="O10" t="s">
        <v>92</v>
      </c>
      <c r="P10" t="s">
        <v>167</v>
      </c>
      <c r="Q10" t="s">
        <v>95</v>
      </c>
      <c r="S10" t="s">
        <v>93</v>
      </c>
      <c r="T10" t="s">
        <v>93</v>
      </c>
      <c r="U10" t="s">
        <v>92</v>
      </c>
      <c r="V10" t="s">
        <v>93</v>
      </c>
      <c r="W10" t="s">
        <v>93</v>
      </c>
      <c r="X10" t="s">
        <v>93</v>
      </c>
      <c r="Y10" t="s">
        <v>92</v>
      </c>
      <c r="AH10" t="s">
        <v>110</v>
      </c>
      <c r="AI10">
        <v>3</v>
      </c>
      <c r="AJ10">
        <v>3</v>
      </c>
      <c r="AK10">
        <v>2</v>
      </c>
      <c r="AL10" t="s">
        <v>120</v>
      </c>
      <c r="AM10">
        <v>4</v>
      </c>
      <c r="AN10" t="s">
        <v>99</v>
      </c>
      <c r="AO10">
        <v>2</v>
      </c>
      <c r="AP10" t="s">
        <v>99</v>
      </c>
      <c r="AQ10">
        <v>3</v>
      </c>
      <c r="AR10">
        <v>2</v>
      </c>
      <c r="AS10">
        <v>3</v>
      </c>
      <c r="AT10">
        <v>2</v>
      </c>
      <c r="AU10">
        <v>4</v>
      </c>
      <c r="AV10" t="s">
        <v>100</v>
      </c>
      <c r="AW10">
        <v>4</v>
      </c>
      <c r="AX10">
        <v>3</v>
      </c>
      <c r="AY10">
        <v>4</v>
      </c>
      <c r="AZ10">
        <v>3</v>
      </c>
      <c r="BA10">
        <v>3</v>
      </c>
      <c r="BB10">
        <v>4</v>
      </c>
      <c r="BC10">
        <v>3</v>
      </c>
      <c r="BD10">
        <v>3</v>
      </c>
      <c r="BE10">
        <v>3</v>
      </c>
      <c r="BF10" t="s">
        <v>100</v>
      </c>
      <c r="BG10">
        <v>4</v>
      </c>
      <c r="BH10">
        <v>4</v>
      </c>
      <c r="BI10" t="s">
        <v>111</v>
      </c>
      <c r="BJ10" t="s">
        <v>111</v>
      </c>
      <c r="BK10">
        <v>4</v>
      </c>
      <c r="BL10">
        <v>3</v>
      </c>
      <c r="BM10">
        <v>4</v>
      </c>
      <c r="BO10">
        <v>531.02</v>
      </c>
      <c r="BP10">
        <v>297.43</v>
      </c>
      <c r="CC10">
        <v>233.59</v>
      </c>
    </row>
    <row r="11" spans="1:85" x14ac:dyDescent="0.35">
      <c r="A11">
        <v>348</v>
      </c>
      <c r="B11" t="s">
        <v>168</v>
      </c>
      <c r="C11">
        <v>2</v>
      </c>
      <c r="D11" t="s">
        <v>88</v>
      </c>
      <c r="E11">
        <v>1402143858</v>
      </c>
      <c r="F11" t="s">
        <v>169</v>
      </c>
      <c r="G11" t="s">
        <v>168</v>
      </c>
      <c r="H11" t="s">
        <v>93</v>
      </c>
      <c r="I11" t="s">
        <v>92</v>
      </c>
      <c r="J11" t="s">
        <v>92</v>
      </c>
      <c r="K11" t="s">
        <v>92</v>
      </c>
      <c r="L11" t="s">
        <v>92</v>
      </c>
      <c r="M11" t="s">
        <v>92</v>
      </c>
      <c r="O11" t="s">
        <v>93</v>
      </c>
      <c r="Q11" t="s">
        <v>107</v>
      </c>
      <c r="R11" t="s">
        <v>108</v>
      </c>
      <c r="S11" t="s">
        <v>93</v>
      </c>
      <c r="T11" t="s">
        <v>92</v>
      </c>
      <c r="U11" t="s">
        <v>92</v>
      </c>
      <c r="V11" t="s">
        <v>92</v>
      </c>
      <c r="W11" t="s">
        <v>93</v>
      </c>
      <c r="X11" t="s">
        <v>92</v>
      </c>
      <c r="Y11" t="s">
        <v>92</v>
      </c>
      <c r="Z11" t="s">
        <v>172</v>
      </c>
      <c r="AD11" t="s">
        <v>125</v>
      </c>
      <c r="AE11" t="s">
        <v>138</v>
      </c>
      <c r="AF11" t="s">
        <v>138</v>
      </c>
      <c r="AH11" t="s">
        <v>173</v>
      </c>
      <c r="AI11">
        <v>2</v>
      </c>
      <c r="AJ11">
        <v>2</v>
      </c>
      <c r="AK11">
        <v>3</v>
      </c>
      <c r="AL11" t="s">
        <v>120</v>
      </c>
      <c r="AM11" t="s">
        <v>100</v>
      </c>
      <c r="AN11" t="s">
        <v>100</v>
      </c>
      <c r="AO11" t="s">
        <v>100</v>
      </c>
      <c r="AP11" t="s">
        <v>100</v>
      </c>
      <c r="AQ11">
        <v>3</v>
      </c>
      <c r="AR11">
        <v>3</v>
      </c>
      <c r="AS11">
        <v>3</v>
      </c>
      <c r="AT11">
        <v>4</v>
      </c>
      <c r="AU11" t="s">
        <v>100</v>
      </c>
      <c r="AV11" t="s">
        <v>100</v>
      </c>
      <c r="AW11">
        <v>3</v>
      </c>
      <c r="AX11">
        <v>3</v>
      </c>
      <c r="AY11" t="s">
        <v>100</v>
      </c>
      <c r="AZ11" t="s">
        <v>99</v>
      </c>
      <c r="BA11" t="s">
        <v>100</v>
      </c>
      <c r="BB11" t="s">
        <v>100</v>
      </c>
      <c r="BC11" t="s">
        <v>100</v>
      </c>
      <c r="BD11" t="s">
        <v>100</v>
      </c>
      <c r="BE11" t="s">
        <v>100</v>
      </c>
      <c r="BF11" t="s">
        <v>100</v>
      </c>
      <c r="BG11">
        <v>3</v>
      </c>
      <c r="BH11" t="s">
        <v>111</v>
      </c>
      <c r="BI11">
        <v>4</v>
      </c>
      <c r="BJ11" t="s">
        <v>111</v>
      </c>
      <c r="BK11">
        <v>3</v>
      </c>
      <c r="BL11">
        <v>3</v>
      </c>
      <c r="BM11">
        <v>4</v>
      </c>
      <c r="BN11" t="s">
        <v>174</v>
      </c>
      <c r="BO11">
        <v>757.05</v>
      </c>
      <c r="BP11">
        <v>390.94</v>
      </c>
      <c r="CC11">
        <v>366.11</v>
      </c>
    </row>
    <row r="12" spans="1:85" x14ac:dyDescent="0.35">
      <c r="A12">
        <v>349</v>
      </c>
      <c r="B12" t="s">
        <v>175</v>
      </c>
      <c r="C12">
        <v>2</v>
      </c>
      <c r="D12" t="s">
        <v>88</v>
      </c>
      <c r="E12">
        <v>1001617587</v>
      </c>
      <c r="F12" t="s">
        <v>176</v>
      </c>
      <c r="G12" t="s">
        <v>175</v>
      </c>
      <c r="H12" t="s">
        <v>93</v>
      </c>
      <c r="I12" t="s">
        <v>92</v>
      </c>
      <c r="J12" t="s">
        <v>92</v>
      </c>
      <c r="K12" t="s">
        <v>92</v>
      </c>
      <c r="L12" t="s">
        <v>92</v>
      </c>
      <c r="M12" t="s">
        <v>92</v>
      </c>
      <c r="O12" t="s">
        <v>93</v>
      </c>
      <c r="Q12" t="s">
        <v>119</v>
      </c>
      <c r="R12" t="s">
        <v>93</v>
      </c>
      <c r="S12" t="s">
        <v>93</v>
      </c>
      <c r="T12" t="s">
        <v>93</v>
      </c>
      <c r="U12" t="s">
        <v>93</v>
      </c>
      <c r="V12" t="s">
        <v>92</v>
      </c>
      <c r="W12" t="s">
        <v>93</v>
      </c>
      <c r="X12" t="s">
        <v>92</v>
      </c>
      <c r="Y12" t="s">
        <v>92</v>
      </c>
      <c r="AD12" t="s">
        <v>125</v>
      </c>
      <c r="AE12" t="s">
        <v>138</v>
      </c>
      <c r="AF12" t="s">
        <v>138</v>
      </c>
      <c r="AH12" t="s">
        <v>173</v>
      </c>
      <c r="AI12">
        <v>2</v>
      </c>
      <c r="AJ12">
        <v>3</v>
      </c>
      <c r="AK12">
        <v>2</v>
      </c>
      <c r="AL12">
        <v>4</v>
      </c>
      <c r="AM12" t="s">
        <v>100</v>
      </c>
      <c r="AN12">
        <v>4</v>
      </c>
      <c r="AO12">
        <v>3</v>
      </c>
      <c r="AP12">
        <v>3</v>
      </c>
      <c r="AQ12">
        <v>3</v>
      </c>
      <c r="AR12">
        <v>3</v>
      </c>
      <c r="AS12">
        <v>4</v>
      </c>
      <c r="AT12">
        <v>4</v>
      </c>
      <c r="AU12">
        <v>4</v>
      </c>
      <c r="AV12" t="s">
        <v>100</v>
      </c>
      <c r="AW12">
        <v>3</v>
      </c>
      <c r="AX12">
        <v>3</v>
      </c>
      <c r="AY12">
        <v>3</v>
      </c>
      <c r="AZ12">
        <v>2</v>
      </c>
      <c r="BA12">
        <v>3</v>
      </c>
      <c r="BB12">
        <v>3</v>
      </c>
      <c r="BC12">
        <v>2</v>
      </c>
      <c r="BD12">
        <v>4</v>
      </c>
      <c r="BE12">
        <v>3</v>
      </c>
      <c r="BF12">
        <v>4</v>
      </c>
      <c r="BG12">
        <v>2</v>
      </c>
      <c r="BH12">
        <v>3</v>
      </c>
      <c r="BI12">
        <v>2</v>
      </c>
      <c r="BJ12" t="s">
        <v>111</v>
      </c>
      <c r="BK12">
        <v>3</v>
      </c>
      <c r="BL12">
        <v>3</v>
      </c>
      <c r="BM12">
        <v>4</v>
      </c>
      <c r="BO12">
        <v>638.29999999999995</v>
      </c>
      <c r="BP12">
        <v>250.7</v>
      </c>
      <c r="CC12">
        <v>387.6</v>
      </c>
    </row>
    <row r="13" spans="1:85" x14ac:dyDescent="0.35">
      <c r="A13">
        <v>350</v>
      </c>
      <c r="B13" t="s">
        <v>179</v>
      </c>
      <c r="C13">
        <v>2</v>
      </c>
      <c r="D13" t="s">
        <v>88</v>
      </c>
      <c r="E13">
        <v>702863728</v>
      </c>
      <c r="F13" t="s">
        <v>180</v>
      </c>
      <c r="G13" t="s">
        <v>179</v>
      </c>
      <c r="H13" t="s">
        <v>92</v>
      </c>
      <c r="I13" t="s">
        <v>92</v>
      </c>
      <c r="J13" t="s">
        <v>92</v>
      </c>
      <c r="K13" t="s">
        <v>92</v>
      </c>
      <c r="L13" t="s">
        <v>93</v>
      </c>
      <c r="M13" t="s">
        <v>92</v>
      </c>
      <c r="O13" t="s">
        <v>93</v>
      </c>
      <c r="Q13" t="s">
        <v>119</v>
      </c>
      <c r="R13" t="s">
        <v>108</v>
      </c>
      <c r="S13" t="s">
        <v>93</v>
      </c>
      <c r="T13" t="s">
        <v>92</v>
      </c>
      <c r="U13" t="s">
        <v>93</v>
      </c>
      <c r="V13" t="s">
        <v>92</v>
      </c>
      <c r="W13" t="s">
        <v>93</v>
      </c>
      <c r="X13" t="s">
        <v>93</v>
      </c>
      <c r="Y13" t="s">
        <v>93</v>
      </c>
      <c r="AD13" t="s">
        <v>125</v>
      </c>
      <c r="AE13" t="s">
        <v>138</v>
      </c>
      <c r="AF13" t="s">
        <v>138</v>
      </c>
      <c r="AH13" t="s">
        <v>110</v>
      </c>
      <c r="AI13" t="s">
        <v>98</v>
      </c>
      <c r="AJ13">
        <v>2</v>
      </c>
      <c r="AK13">
        <v>3</v>
      </c>
      <c r="AL13" t="s">
        <v>120</v>
      </c>
      <c r="AM13">
        <v>4</v>
      </c>
      <c r="AN13" t="s">
        <v>100</v>
      </c>
      <c r="AO13">
        <v>2</v>
      </c>
      <c r="AP13">
        <v>3</v>
      </c>
      <c r="AQ13">
        <v>4</v>
      </c>
      <c r="AR13">
        <v>4</v>
      </c>
      <c r="AS13">
        <v>2</v>
      </c>
      <c r="AT13" t="s">
        <v>100</v>
      </c>
      <c r="AU13">
        <v>4</v>
      </c>
      <c r="AV13">
        <v>4</v>
      </c>
      <c r="AW13">
        <v>4</v>
      </c>
      <c r="AX13">
        <v>4</v>
      </c>
      <c r="AY13" t="s">
        <v>100</v>
      </c>
      <c r="AZ13">
        <v>4</v>
      </c>
      <c r="BA13">
        <v>3</v>
      </c>
      <c r="BB13" t="s">
        <v>100</v>
      </c>
      <c r="BC13">
        <v>3</v>
      </c>
      <c r="BD13" t="s">
        <v>100</v>
      </c>
      <c r="BE13">
        <v>2</v>
      </c>
      <c r="BF13" t="s">
        <v>100</v>
      </c>
      <c r="BG13">
        <v>4</v>
      </c>
      <c r="BH13" t="s">
        <v>183</v>
      </c>
      <c r="BI13">
        <v>2</v>
      </c>
      <c r="BJ13">
        <v>3</v>
      </c>
      <c r="BK13">
        <v>3</v>
      </c>
      <c r="BL13">
        <v>3</v>
      </c>
      <c r="BM13">
        <v>3</v>
      </c>
      <c r="BN13" t="s">
        <v>184</v>
      </c>
      <c r="BO13">
        <v>1977.51</v>
      </c>
      <c r="BP13">
        <v>570.23</v>
      </c>
      <c r="CC13">
        <v>1407.28</v>
      </c>
    </row>
    <row r="14" spans="1:85" x14ac:dyDescent="0.35">
      <c r="A14">
        <v>351</v>
      </c>
      <c r="B14" t="s">
        <v>185</v>
      </c>
      <c r="C14">
        <v>2</v>
      </c>
      <c r="D14" t="s">
        <v>88</v>
      </c>
      <c r="E14">
        <v>1011064866</v>
      </c>
      <c r="F14" t="s">
        <v>186</v>
      </c>
      <c r="G14" t="s">
        <v>185</v>
      </c>
      <c r="H14" t="s">
        <v>93</v>
      </c>
      <c r="I14" t="s">
        <v>92</v>
      </c>
      <c r="J14" t="s">
        <v>92</v>
      </c>
      <c r="K14" t="s">
        <v>92</v>
      </c>
      <c r="L14" t="s">
        <v>93</v>
      </c>
      <c r="M14" t="s">
        <v>93</v>
      </c>
      <c r="O14" t="s">
        <v>93</v>
      </c>
      <c r="Q14" t="s">
        <v>95</v>
      </c>
      <c r="R14" t="s">
        <v>92</v>
      </c>
      <c r="S14" t="s">
        <v>93</v>
      </c>
      <c r="T14" t="s">
        <v>92</v>
      </c>
      <c r="U14" t="s">
        <v>92</v>
      </c>
      <c r="V14" t="s">
        <v>92</v>
      </c>
      <c r="W14" t="s">
        <v>93</v>
      </c>
      <c r="X14" t="s">
        <v>92</v>
      </c>
      <c r="Y14" t="s">
        <v>92</v>
      </c>
      <c r="AD14" t="s">
        <v>125</v>
      </c>
      <c r="AE14" t="s">
        <v>138</v>
      </c>
      <c r="AF14" t="s">
        <v>138</v>
      </c>
      <c r="AH14" t="s">
        <v>97</v>
      </c>
      <c r="AI14">
        <v>2</v>
      </c>
      <c r="AJ14">
        <v>3</v>
      </c>
      <c r="AK14">
        <v>4</v>
      </c>
      <c r="AL14" t="s">
        <v>120</v>
      </c>
      <c r="AM14">
        <v>4</v>
      </c>
      <c r="AN14" t="s">
        <v>100</v>
      </c>
      <c r="AO14">
        <v>2</v>
      </c>
      <c r="AP14">
        <v>3</v>
      </c>
      <c r="AQ14">
        <v>2</v>
      </c>
      <c r="AR14">
        <v>2</v>
      </c>
      <c r="AS14">
        <v>3</v>
      </c>
      <c r="AT14">
        <v>4</v>
      </c>
      <c r="AU14" t="s">
        <v>100</v>
      </c>
      <c r="AV14" t="s">
        <v>100</v>
      </c>
      <c r="AW14">
        <v>4</v>
      </c>
      <c r="AX14" t="s">
        <v>100</v>
      </c>
      <c r="AY14">
        <v>4</v>
      </c>
      <c r="AZ14">
        <v>4</v>
      </c>
      <c r="BA14">
        <v>2</v>
      </c>
      <c r="BB14">
        <v>4</v>
      </c>
      <c r="BC14">
        <v>4</v>
      </c>
      <c r="BD14" t="s">
        <v>100</v>
      </c>
      <c r="BE14">
        <v>2</v>
      </c>
      <c r="BF14">
        <v>4</v>
      </c>
      <c r="BG14">
        <v>3</v>
      </c>
      <c r="BH14">
        <v>4</v>
      </c>
      <c r="BI14">
        <v>4</v>
      </c>
      <c r="BJ14">
        <v>3</v>
      </c>
      <c r="BK14">
        <v>4</v>
      </c>
      <c r="BL14" t="s">
        <v>111</v>
      </c>
      <c r="BM14">
        <v>4</v>
      </c>
      <c r="BO14">
        <v>470.67</v>
      </c>
      <c r="BP14">
        <v>209.39</v>
      </c>
      <c r="CC14">
        <v>261.27999999999997</v>
      </c>
    </row>
    <row r="15" spans="1:85" x14ac:dyDescent="0.35">
      <c r="A15">
        <v>352</v>
      </c>
      <c r="B15" t="s">
        <v>189</v>
      </c>
      <c r="C15">
        <v>2</v>
      </c>
      <c r="D15" t="s">
        <v>88</v>
      </c>
      <c r="E15">
        <v>90079718</v>
      </c>
      <c r="F15" t="s">
        <v>190</v>
      </c>
      <c r="G15" t="s">
        <v>189</v>
      </c>
      <c r="H15" t="s">
        <v>93</v>
      </c>
      <c r="I15" t="s">
        <v>92</v>
      </c>
      <c r="J15" t="s">
        <v>92</v>
      </c>
      <c r="K15" t="s">
        <v>92</v>
      </c>
      <c r="L15" t="s">
        <v>92</v>
      </c>
      <c r="M15" t="s">
        <v>92</v>
      </c>
      <c r="O15" t="s">
        <v>93</v>
      </c>
      <c r="Q15" t="s">
        <v>119</v>
      </c>
      <c r="R15" t="s">
        <v>108</v>
      </c>
      <c r="S15" t="s">
        <v>92</v>
      </c>
      <c r="T15" t="s">
        <v>93</v>
      </c>
      <c r="U15" t="s">
        <v>92</v>
      </c>
      <c r="V15" t="s">
        <v>92</v>
      </c>
      <c r="W15" t="s">
        <v>92</v>
      </c>
      <c r="X15" t="s">
        <v>92</v>
      </c>
      <c r="Y15" t="s">
        <v>92</v>
      </c>
      <c r="AD15">
        <v>4</v>
      </c>
      <c r="AE15" t="s">
        <v>138</v>
      </c>
      <c r="AF15" t="s">
        <v>138</v>
      </c>
      <c r="AG15" t="s">
        <v>193</v>
      </c>
      <c r="AH15" t="s">
        <v>97</v>
      </c>
      <c r="AI15" t="s">
        <v>98</v>
      </c>
      <c r="AJ15">
        <v>2</v>
      </c>
      <c r="AK15">
        <v>3</v>
      </c>
      <c r="AL15" t="s">
        <v>120</v>
      </c>
      <c r="AM15" t="s">
        <v>100</v>
      </c>
      <c r="AN15">
        <v>4</v>
      </c>
      <c r="AO15">
        <v>3</v>
      </c>
      <c r="AP15" t="s">
        <v>99</v>
      </c>
      <c r="AQ15" t="s">
        <v>99</v>
      </c>
      <c r="AR15" t="s">
        <v>99</v>
      </c>
      <c r="AS15" t="s">
        <v>99</v>
      </c>
      <c r="AT15" t="s">
        <v>99</v>
      </c>
      <c r="AU15">
        <v>4</v>
      </c>
      <c r="AV15">
        <v>4</v>
      </c>
      <c r="AW15">
        <v>3</v>
      </c>
      <c r="AX15" t="s">
        <v>99</v>
      </c>
      <c r="AY15">
        <v>4</v>
      </c>
      <c r="AZ15">
        <v>3</v>
      </c>
      <c r="BA15">
        <v>4</v>
      </c>
      <c r="BB15">
        <v>3</v>
      </c>
      <c r="BC15">
        <v>4</v>
      </c>
      <c r="BD15">
        <v>3</v>
      </c>
      <c r="BE15" t="s">
        <v>100</v>
      </c>
      <c r="BF15" t="s">
        <v>100</v>
      </c>
      <c r="BG15" t="s">
        <v>111</v>
      </c>
      <c r="BH15" t="s">
        <v>111</v>
      </c>
      <c r="BI15" t="s">
        <v>111</v>
      </c>
      <c r="BJ15" t="s">
        <v>111</v>
      </c>
      <c r="BK15" t="s">
        <v>111</v>
      </c>
      <c r="BL15" t="s">
        <v>111</v>
      </c>
      <c r="BM15" t="s">
        <v>111</v>
      </c>
      <c r="BN15" t="s">
        <v>194</v>
      </c>
      <c r="BO15">
        <v>354.73</v>
      </c>
      <c r="BP15">
        <v>124.78</v>
      </c>
      <c r="CC15">
        <v>229.95</v>
      </c>
    </row>
    <row r="16" spans="1:85" x14ac:dyDescent="0.35">
      <c r="A16">
        <v>353</v>
      </c>
      <c r="B16" t="s">
        <v>195</v>
      </c>
      <c r="C16">
        <v>2</v>
      </c>
      <c r="D16" t="s">
        <v>88</v>
      </c>
      <c r="E16">
        <v>231649365</v>
      </c>
      <c r="F16" t="s">
        <v>196</v>
      </c>
      <c r="G16" t="s">
        <v>195</v>
      </c>
      <c r="H16" t="s">
        <v>92</v>
      </c>
      <c r="I16" t="s">
        <v>92</v>
      </c>
      <c r="J16" t="s">
        <v>93</v>
      </c>
      <c r="K16" t="s">
        <v>92</v>
      </c>
      <c r="L16" t="s">
        <v>93</v>
      </c>
      <c r="M16" t="s">
        <v>93</v>
      </c>
      <c r="O16" t="s">
        <v>92</v>
      </c>
      <c r="P16" t="s">
        <v>199</v>
      </c>
      <c r="Q16" t="s">
        <v>119</v>
      </c>
      <c r="S16" t="s">
        <v>92</v>
      </c>
      <c r="T16" t="s">
        <v>93</v>
      </c>
      <c r="U16" t="s">
        <v>92</v>
      </c>
      <c r="V16" t="s">
        <v>92</v>
      </c>
      <c r="W16" t="s">
        <v>93</v>
      </c>
      <c r="X16" t="s">
        <v>93</v>
      </c>
      <c r="Y16" t="s">
        <v>92</v>
      </c>
      <c r="AH16" t="s">
        <v>110</v>
      </c>
      <c r="AI16" t="s">
        <v>98</v>
      </c>
      <c r="AJ16">
        <v>2</v>
      </c>
      <c r="AK16">
        <v>4</v>
      </c>
      <c r="AL16" t="s">
        <v>120</v>
      </c>
      <c r="AM16">
        <v>3</v>
      </c>
      <c r="AN16">
        <v>4</v>
      </c>
      <c r="AO16">
        <v>4</v>
      </c>
      <c r="AP16" t="s">
        <v>99</v>
      </c>
      <c r="AQ16">
        <v>2</v>
      </c>
      <c r="AR16" t="s">
        <v>99</v>
      </c>
      <c r="AS16">
        <v>4</v>
      </c>
      <c r="AT16">
        <v>4</v>
      </c>
      <c r="AU16" t="s">
        <v>100</v>
      </c>
      <c r="AV16" t="s">
        <v>100</v>
      </c>
      <c r="AW16">
        <v>2</v>
      </c>
      <c r="AX16" t="s">
        <v>99</v>
      </c>
      <c r="AY16" t="s">
        <v>100</v>
      </c>
      <c r="AZ16" t="s">
        <v>100</v>
      </c>
      <c r="BA16" t="s">
        <v>100</v>
      </c>
      <c r="BB16" t="s">
        <v>100</v>
      </c>
      <c r="BC16">
        <v>4</v>
      </c>
      <c r="BD16">
        <v>3</v>
      </c>
      <c r="BE16" t="s">
        <v>100</v>
      </c>
      <c r="BF16" t="s">
        <v>100</v>
      </c>
      <c r="BG16">
        <v>3</v>
      </c>
      <c r="BH16">
        <v>4</v>
      </c>
      <c r="BI16" t="s">
        <v>111</v>
      </c>
      <c r="BJ16" t="s">
        <v>183</v>
      </c>
      <c r="BK16" t="s">
        <v>183</v>
      </c>
      <c r="BL16">
        <v>3</v>
      </c>
      <c r="BM16">
        <v>2</v>
      </c>
      <c r="BO16">
        <v>217.1</v>
      </c>
      <c r="BP16">
        <v>103.79</v>
      </c>
      <c r="CC16">
        <v>113.31</v>
      </c>
    </row>
    <row r="17" spans="1:81" x14ac:dyDescent="0.35">
      <c r="A17">
        <v>355</v>
      </c>
      <c r="B17" t="s">
        <v>201</v>
      </c>
      <c r="C17">
        <v>2</v>
      </c>
      <c r="D17" t="s">
        <v>88</v>
      </c>
      <c r="E17">
        <v>65984173</v>
      </c>
      <c r="F17" t="s">
        <v>202</v>
      </c>
      <c r="G17" t="s">
        <v>201</v>
      </c>
      <c r="H17" t="s">
        <v>93</v>
      </c>
      <c r="I17" t="s">
        <v>92</v>
      </c>
      <c r="J17" t="s">
        <v>93</v>
      </c>
      <c r="K17" t="s">
        <v>92</v>
      </c>
      <c r="L17" t="s">
        <v>92</v>
      </c>
      <c r="M17" t="s">
        <v>92</v>
      </c>
      <c r="O17" t="s">
        <v>92</v>
      </c>
      <c r="P17" t="s">
        <v>205</v>
      </c>
      <c r="Q17" t="s">
        <v>119</v>
      </c>
      <c r="S17" t="s">
        <v>92</v>
      </c>
      <c r="T17" t="s">
        <v>93</v>
      </c>
      <c r="U17" t="s">
        <v>92</v>
      </c>
      <c r="V17" t="s">
        <v>92</v>
      </c>
      <c r="W17" t="s">
        <v>93</v>
      </c>
      <c r="X17" t="s">
        <v>92</v>
      </c>
      <c r="Y17" t="s">
        <v>92</v>
      </c>
      <c r="AG17" t="s">
        <v>206</v>
      </c>
      <c r="AH17" t="s">
        <v>110</v>
      </c>
      <c r="AI17">
        <v>2</v>
      </c>
      <c r="AJ17">
        <v>2</v>
      </c>
      <c r="AK17">
        <v>4</v>
      </c>
      <c r="AL17" t="s">
        <v>120</v>
      </c>
      <c r="AM17">
        <v>4</v>
      </c>
      <c r="AN17">
        <v>3</v>
      </c>
      <c r="AO17">
        <v>3</v>
      </c>
      <c r="AP17">
        <v>2</v>
      </c>
      <c r="AQ17">
        <v>2</v>
      </c>
      <c r="AR17" t="s">
        <v>99</v>
      </c>
      <c r="AS17">
        <v>2</v>
      </c>
      <c r="AT17">
        <v>2</v>
      </c>
      <c r="AU17">
        <v>4</v>
      </c>
      <c r="AV17" t="s">
        <v>100</v>
      </c>
      <c r="AW17">
        <v>4</v>
      </c>
      <c r="AX17" t="s">
        <v>99</v>
      </c>
      <c r="AY17">
        <v>2</v>
      </c>
      <c r="AZ17" t="s">
        <v>99</v>
      </c>
      <c r="BA17">
        <v>3</v>
      </c>
      <c r="BB17">
        <v>4</v>
      </c>
      <c r="BC17">
        <v>3</v>
      </c>
      <c r="BD17">
        <v>4</v>
      </c>
      <c r="BE17">
        <v>3</v>
      </c>
      <c r="BF17">
        <v>3</v>
      </c>
      <c r="BG17">
        <v>3</v>
      </c>
      <c r="BH17">
        <v>4</v>
      </c>
      <c r="BI17">
        <v>4</v>
      </c>
      <c r="BJ17">
        <v>4</v>
      </c>
      <c r="BK17">
        <v>4</v>
      </c>
      <c r="BL17">
        <v>4</v>
      </c>
      <c r="BM17">
        <v>4</v>
      </c>
      <c r="BN17" t="s">
        <v>207</v>
      </c>
      <c r="BO17">
        <v>722.04</v>
      </c>
      <c r="BP17">
        <v>167.54</v>
      </c>
      <c r="CC17">
        <v>554.5</v>
      </c>
    </row>
    <row r="18" spans="1:81" x14ac:dyDescent="0.35">
      <c r="A18">
        <v>357</v>
      </c>
      <c r="B18" t="s">
        <v>213</v>
      </c>
      <c r="C18">
        <v>2</v>
      </c>
      <c r="D18" t="s">
        <v>88</v>
      </c>
      <c r="E18">
        <v>1749959462</v>
      </c>
      <c r="F18" t="s">
        <v>214</v>
      </c>
      <c r="G18" t="s">
        <v>213</v>
      </c>
      <c r="H18" t="s">
        <v>93</v>
      </c>
      <c r="I18" t="s">
        <v>92</v>
      </c>
      <c r="J18" t="s">
        <v>92</v>
      </c>
      <c r="K18" t="s">
        <v>92</v>
      </c>
      <c r="L18" t="s">
        <v>93</v>
      </c>
      <c r="M18" t="s">
        <v>93</v>
      </c>
      <c r="O18" t="s">
        <v>93</v>
      </c>
      <c r="Q18" t="s">
        <v>119</v>
      </c>
      <c r="R18" t="s">
        <v>93</v>
      </c>
      <c r="S18" t="s">
        <v>93</v>
      </c>
      <c r="T18" t="s">
        <v>92</v>
      </c>
      <c r="U18" t="s">
        <v>92</v>
      </c>
      <c r="V18" t="s">
        <v>92</v>
      </c>
      <c r="W18" t="s">
        <v>93</v>
      </c>
      <c r="X18" t="s">
        <v>92</v>
      </c>
      <c r="Y18" t="s">
        <v>92</v>
      </c>
      <c r="AD18" t="s">
        <v>125</v>
      </c>
      <c r="AE18" t="s">
        <v>138</v>
      </c>
      <c r="AF18">
        <v>4</v>
      </c>
      <c r="AH18" t="s">
        <v>173</v>
      </c>
      <c r="AI18">
        <v>3</v>
      </c>
      <c r="AJ18">
        <v>4</v>
      </c>
      <c r="AK18">
        <v>3</v>
      </c>
      <c r="AL18" t="s">
        <v>120</v>
      </c>
      <c r="AM18">
        <v>3</v>
      </c>
      <c r="AN18">
        <v>4</v>
      </c>
      <c r="AO18">
        <v>2</v>
      </c>
      <c r="AP18">
        <v>2</v>
      </c>
      <c r="AQ18">
        <v>4</v>
      </c>
      <c r="AR18" t="s">
        <v>100</v>
      </c>
      <c r="AS18">
        <v>3</v>
      </c>
      <c r="AT18">
        <v>3</v>
      </c>
      <c r="AU18">
        <v>4</v>
      </c>
      <c r="AV18" t="s">
        <v>100</v>
      </c>
      <c r="AW18">
        <v>3</v>
      </c>
      <c r="AX18" t="s">
        <v>100</v>
      </c>
      <c r="AY18">
        <v>4</v>
      </c>
      <c r="AZ18">
        <v>4</v>
      </c>
      <c r="BA18">
        <v>4</v>
      </c>
      <c r="BB18">
        <v>4</v>
      </c>
      <c r="BC18">
        <v>4</v>
      </c>
      <c r="BD18" t="s">
        <v>100</v>
      </c>
      <c r="BE18">
        <v>3</v>
      </c>
      <c r="BF18">
        <v>4</v>
      </c>
      <c r="BG18">
        <v>4</v>
      </c>
      <c r="BH18">
        <v>2</v>
      </c>
      <c r="BI18">
        <v>2</v>
      </c>
      <c r="BJ18">
        <v>3</v>
      </c>
      <c r="BK18">
        <v>3</v>
      </c>
      <c r="BL18">
        <v>3</v>
      </c>
      <c r="BM18">
        <v>4</v>
      </c>
      <c r="BO18">
        <v>345.58</v>
      </c>
      <c r="BP18">
        <v>141.07</v>
      </c>
      <c r="CC18">
        <v>204.51</v>
      </c>
    </row>
    <row r="19" spans="1:81" x14ac:dyDescent="0.35">
      <c r="A19">
        <v>359</v>
      </c>
      <c r="B19" t="s">
        <v>221</v>
      </c>
      <c r="C19">
        <v>2</v>
      </c>
      <c r="D19" t="s">
        <v>88</v>
      </c>
      <c r="E19">
        <v>1559311242</v>
      </c>
      <c r="F19" t="s">
        <v>222</v>
      </c>
      <c r="G19" t="s">
        <v>221</v>
      </c>
      <c r="H19" t="s">
        <v>93</v>
      </c>
      <c r="I19" t="s">
        <v>92</v>
      </c>
      <c r="J19" t="s">
        <v>92</v>
      </c>
      <c r="K19" t="s">
        <v>92</v>
      </c>
      <c r="L19" t="s">
        <v>92</v>
      </c>
      <c r="M19" t="s">
        <v>92</v>
      </c>
      <c r="O19" t="s">
        <v>92</v>
      </c>
      <c r="P19" t="s">
        <v>225</v>
      </c>
      <c r="Q19" t="s">
        <v>119</v>
      </c>
      <c r="S19" t="s">
        <v>93</v>
      </c>
      <c r="T19" t="s">
        <v>93</v>
      </c>
      <c r="U19" t="s">
        <v>92</v>
      </c>
      <c r="V19" t="s">
        <v>92</v>
      </c>
      <c r="W19" t="s">
        <v>93</v>
      </c>
      <c r="X19" t="s">
        <v>92</v>
      </c>
      <c r="Y19" t="s">
        <v>92</v>
      </c>
      <c r="AH19" t="s">
        <v>97</v>
      </c>
      <c r="AI19">
        <v>3</v>
      </c>
      <c r="AJ19">
        <v>4</v>
      </c>
      <c r="AK19">
        <v>4</v>
      </c>
      <c r="AL19" t="s">
        <v>120</v>
      </c>
      <c r="AM19">
        <v>4</v>
      </c>
      <c r="AN19" t="s">
        <v>100</v>
      </c>
      <c r="AO19">
        <v>3</v>
      </c>
      <c r="AP19">
        <v>3</v>
      </c>
      <c r="AQ19">
        <v>3</v>
      </c>
      <c r="AR19">
        <v>2</v>
      </c>
      <c r="AS19">
        <v>4</v>
      </c>
      <c r="AT19">
        <v>4</v>
      </c>
      <c r="AU19">
        <v>4</v>
      </c>
      <c r="AV19" t="s">
        <v>100</v>
      </c>
      <c r="AW19" t="s">
        <v>100</v>
      </c>
      <c r="AX19" t="s">
        <v>100</v>
      </c>
      <c r="AY19">
        <v>4</v>
      </c>
      <c r="AZ19">
        <v>4</v>
      </c>
      <c r="BA19">
        <v>4</v>
      </c>
      <c r="BB19" t="s">
        <v>100</v>
      </c>
      <c r="BC19">
        <v>4</v>
      </c>
      <c r="BD19" t="s">
        <v>100</v>
      </c>
      <c r="BE19">
        <v>4</v>
      </c>
      <c r="BF19">
        <v>4</v>
      </c>
      <c r="BG19" t="s">
        <v>111</v>
      </c>
      <c r="BH19">
        <v>4</v>
      </c>
      <c r="BI19">
        <v>4</v>
      </c>
      <c r="BJ19">
        <v>4</v>
      </c>
      <c r="BK19">
        <v>4</v>
      </c>
      <c r="BL19">
        <v>3</v>
      </c>
      <c r="BM19">
        <v>3</v>
      </c>
      <c r="BO19">
        <v>183.92</v>
      </c>
      <c r="BP19">
        <v>82.97</v>
      </c>
      <c r="CC19">
        <v>100.95</v>
      </c>
    </row>
    <row r="20" spans="1:81" x14ac:dyDescent="0.35">
      <c r="A20">
        <v>360</v>
      </c>
      <c r="B20" t="s">
        <v>226</v>
      </c>
      <c r="C20">
        <v>2</v>
      </c>
      <c r="D20" t="s">
        <v>88</v>
      </c>
      <c r="E20">
        <v>1225433918</v>
      </c>
      <c r="F20" t="s">
        <v>227</v>
      </c>
      <c r="G20" t="s">
        <v>226</v>
      </c>
      <c r="H20" t="s">
        <v>93</v>
      </c>
      <c r="I20" t="s">
        <v>92</v>
      </c>
      <c r="J20" t="s">
        <v>92</v>
      </c>
      <c r="K20" t="s">
        <v>92</v>
      </c>
      <c r="L20" t="s">
        <v>93</v>
      </c>
      <c r="M20" t="s">
        <v>92</v>
      </c>
      <c r="O20" t="s">
        <v>92</v>
      </c>
      <c r="P20" t="s">
        <v>230</v>
      </c>
      <c r="Q20" t="s">
        <v>119</v>
      </c>
      <c r="S20" t="s">
        <v>92</v>
      </c>
      <c r="T20" t="s">
        <v>92</v>
      </c>
      <c r="U20" t="s">
        <v>92</v>
      </c>
      <c r="V20" t="s">
        <v>92</v>
      </c>
      <c r="W20" t="s">
        <v>93</v>
      </c>
      <c r="X20" t="s">
        <v>92</v>
      </c>
      <c r="Y20" t="s">
        <v>92</v>
      </c>
      <c r="Z20" t="s">
        <v>231</v>
      </c>
      <c r="AG20" t="s">
        <v>232</v>
      </c>
      <c r="AH20" t="s">
        <v>173</v>
      </c>
      <c r="AI20" t="s">
        <v>98</v>
      </c>
      <c r="AJ20">
        <v>4</v>
      </c>
      <c r="AK20">
        <v>2</v>
      </c>
      <c r="AL20" t="s">
        <v>120</v>
      </c>
      <c r="AM20">
        <v>4</v>
      </c>
      <c r="AN20">
        <v>4</v>
      </c>
      <c r="AO20" t="s">
        <v>99</v>
      </c>
      <c r="AP20" t="s">
        <v>99</v>
      </c>
      <c r="AQ20">
        <v>3</v>
      </c>
      <c r="AR20">
        <v>4</v>
      </c>
      <c r="AS20">
        <v>3</v>
      </c>
      <c r="AT20">
        <v>4</v>
      </c>
      <c r="AU20">
        <v>2</v>
      </c>
      <c r="AV20" t="s">
        <v>99</v>
      </c>
      <c r="AW20">
        <v>2</v>
      </c>
      <c r="AX20" t="s">
        <v>100</v>
      </c>
      <c r="AY20">
        <v>4</v>
      </c>
      <c r="AZ20" t="s">
        <v>100</v>
      </c>
      <c r="BA20">
        <v>2</v>
      </c>
      <c r="BB20" t="s">
        <v>100</v>
      </c>
      <c r="BC20" t="s">
        <v>99</v>
      </c>
      <c r="BD20">
        <v>4</v>
      </c>
      <c r="BE20" t="s">
        <v>99</v>
      </c>
      <c r="BF20" t="s">
        <v>100</v>
      </c>
      <c r="BG20" t="s">
        <v>111</v>
      </c>
      <c r="BH20">
        <v>4</v>
      </c>
      <c r="BI20">
        <v>2</v>
      </c>
      <c r="BJ20">
        <v>3</v>
      </c>
      <c r="BK20">
        <v>2</v>
      </c>
      <c r="BL20">
        <v>4</v>
      </c>
      <c r="BM20" t="s">
        <v>183</v>
      </c>
      <c r="BN20" t="s">
        <v>233</v>
      </c>
      <c r="BO20">
        <v>374.56</v>
      </c>
      <c r="BP20">
        <v>115.11</v>
      </c>
      <c r="CC20">
        <v>259.45</v>
      </c>
    </row>
    <row r="21" spans="1:81" x14ac:dyDescent="0.35">
      <c r="A21">
        <v>362</v>
      </c>
      <c r="B21" t="s">
        <v>235</v>
      </c>
      <c r="C21">
        <v>2</v>
      </c>
      <c r="D21" t="s">
        <v>88</v>
      </c>
      <c r="E21">
        <v>428724436</v>
      </c>
      <c r="F21" t="s">
        <v>236</v>
      </c>
      <c r="G21" t="s">
        <v>235</v>
      </c>
      <c r="H21" t="s">
        <v>93</v>
      </c>
      <c r="I21" t="s">
        <v>92</v>
      </c>
      <c r="J21" t="s">
        <v>92</v>
      </c>
      <c r="K21" t="s">
        <v>92</v>
      </c>
      <c r="L21" t="s">
        <v>92</v>
      </c>
      <c r="M21" t="s">
        <v>92</v>
      </c>
      <c r="O21" t="s">
        <v>92</v>
      </c>
      <c r="P21" t="s">
        <v>237</v>
      </c>
      <c r="Q21" t="s">
        <v>119</v>
      </c>
      <c r="S21" t="s">
        <v>92</v>
      </c>
      <c r="T21" t="s">
        <v>92</v>
      </c>
      <c r="U21" t="s">
        <v>92</v>
      </c>
      <c r="V21" t="s">
        <v>92</v>
      </c>
      <c r="W21" t="s">
        <v>93</v>
      </c>
      <c r="X21" t="s">
        <v>92</v>
      </c>
      <c r="Y21" t="s">
        <v>92</v>
      </c>
      <c r="AH21" t="s">
        <v>110</v>
      </c>
      <c r="AI21">
        <v>3</v>
      </c>
      <c r="AJ21">
        <v>3</v>
      </c>
      <c r="AK21">
        <v>4</v>
      </c>
      <c r="AL21" t="s">
        <v>120</v>
      </c>
      <c r="AM21">
        <v>4</v>
      </c>
      <c r="AN21">
        <v>3</v>
      </c>
      <c r="AO21">
        <v>4</v>
      </c>
      <c r="AP21">
        <v>3</v>
      </c>
      <c r="AQ21">
        <v>4</v>
      </c>
      <c r="AR21">
        <v>3</v>
      </c>
      <c r="AS21">
        <v>4</v>
      </c>
      <c r="AT21">
        <v>3</v>
      </c>
      <c r="AU21">
        <v>4</v>
      </c>
      <c r="AV21">
        <v>3</v>
      </c>
      <c r="AW21">
        <v>4</v>
      </c>
      <c r="AX21">
        <v>3</v>
      </c>
      <c r="AY21">
        <v>4</v>
      </c>
      <c r="AZ21">
        <v>3</v>
      </c>
      <c r="BA21">
        <v>4</v>
      </c>
      <c r="BB21">
        <v>3</v>
      </c>
      <c r="BC21">
        <v>4</v>
      </c>
      <c r="BD21">
        <v>3</v>
      </c>
      <c r="BE21">
        <v>4</v>
      </c>
      <c r="BF21">
        <v>3</v>
      </c>
      <c r="BG21">
        <v>4</v>
      </c>
      <c r="BH21">
        <v>4</v>
      </c>
      <c r="BI21">
        <v>4</v>
      </c>
      <c r="BJ21">
        <v>4</v>
      </c>
      <c r="BK21">
        <v>4</v>
      </c>
      <c r="BL21">
        <v>4</v>
      </c>
      <c r="BM21">
        <v>4</v>
      </c>
      <c r="BO21">
        <v>100.22</v>
      </c>
      <c r="BP21">
        <v>41.88</v>
      </c>
      <c r="CC21">
        <v>58.34</v>
      </c>
    </row>
    <row r="22" spans="1:81" x14ac:dyDescent="0.35">
      <c r="A22">
        <v>363</v>
      </c>
      <c r="B22" t="s">
        <v>238</v>
      </c>
      <c r="C22">
        <v>2</v>
      </c>
      <c r="D22" t="s">
        <v>88</v>
      </c>
      <c r="E22">
        <v>1255441971</v>
      </c>
      <c r="F22" t="s">
        <v>239</v>
      </c>
      <c r="G22" t="s">
        <v>238</v>
      </c>
      <c r="H22" t="s">
        <v>93</v>
      </c>
      <c r="I22" t="s">
        <v>92</v>
      </c>
      <c r="J22" t="s">
        <v>92</v>
      </c>
      <c r="K22" t="s">
        <v>92</v>
      </c>
      <c r="L22" t="s">
        <v>92</v>
      </c>
      <c r="M22" t="s">
        <v>92</v>
      </c>
      <c r="O22" t="s">
        <v>93</v>
      </c>
      <c r="Q22" t="s">
        <v>107</v>
      </c>
      <c r="R22" t="s">
        <v>108</v>
      </c>
      <c r="S22" t="s">
        <v>92</v>
      </c>
      <c r="T22" t="s">
        <v>93</v>
      </c>
      <c r="U22" t="s">
        <v>92</v>
      </c>
      <c r="V22" t="s">
        <v>92</v>
      </c>
      <c r="W22" t="s">
        <v>93</v>
      </c>
      <c r="X22" t="s">
        <v>92</v>
      </c>
      <c r="Y22" t="s">
        <v>92</v>
      </c>
      <c r="AD22" t="s">
        <v>125</v>
      </c>
      <c r="AE22" t="s">
        <v>125</v>
      </c>
      <c r="AF22" t="s">
        <v>125</v>
      </c>
      <c r="AH22" t="s">
        <v>110</v>
      </c>
      <c r="AI22">
        <v>2</v>
      </c>
      <c r="AJ22">
        <v>2</v>
      </c>
      <c r="AK22">
        <v>3</v>
      </c>
      <c r="AL22">
        <v>3</v>
      </c>
      <c r="AM22">
        <v>2</v>
      </c>
      <c r="AN22">
        <v>3</v>
      </c>
      <c r="AO22">
        <v>3</v>
      </c>
      <c r="AP22">
        <v>3</v>
      </c>
      <c r="AQ22">
        <v>3</v>
      </c>
      <c r="AR22">
        <v>3</v>
      </c>
      <c r="AS22">
        <v>3</v>
      </c>
      <c r="AT22">
        <v>3</v>
      </c>
      <c r="AU22">
        <v>4</v>
      </c>
      <c r="AV22">
        <v>3</v>
      </c>
      <c r="AW22">
        <v>2</v>
      </c>
      <c r="AX22">
        <v>3</v>
      </c>
      <c r="AY22">
        <v>2</v>
      </c>
      <c r="AZ22">
        <v>3</v>
      </c>
      <c r="BA22">
        <v>2</v>
      </c>
      <c r="BB22">
        <v>3</v>
      </c>
      <c r="BC22">
        <v>2</v>
      </c>
      <c r="BD22">
        <v>3</v>
      </c>
      <c r="BE22">
        <v>2</v>
      </c>
      <c r="BF22">
        <v>3</v>
      </c>
      <c r="BG22">
        <v>4</v>
      </c>
      <c r="BH22">
        <v>4</v>
      </c>
      <c r="BI22">
        <v>4</v>
      </c>
      <c r="BJ22">
        <v>4</v>
      </c>
      <c r="BK22">
        <v>3</v>
      </c>
      <c r="BL22">
        <v>4</v>
      </c>
      <c r="BM22">
        <v>3</v>
      </c>
      <c r="BO22">
        <v>158.22</v>
      </c>
      <c r="BP22">
        <v>75.84</v>
      </c>
      <c r="CC22">
        <v>82.38</v>
      </c>
    </row>
    <row r="23" spans="1:81" x14ac:dyDescent="0.35">
      <c r="A23">
        <v>364</v>
      </c>
      <c r="B23" t="s">
        <v>242</v>
      </c>
      <c r="C23">
        <v>2</v>
      </c>
      <c r="D23" t="s">
        <v>88</v>
      </c>
      <c r="E23">
        <v>1201275132</v>
      </c>
      <c r="F23" t="s">
        <v>243</v>
      </c>
      <c r="G23" t="s">
        <v>242</v>
      </c>
      <c r="H23" t="s">
        <v>93</v>
      </c>
      <c r="I23" t="s">
        <v>92</v>
      </c>
      <c r="J23" t="s">
        <v>92</v>
      </c>
      <c r="K23" t="s">
        <v>92</v>
      </c>
      <c r="L23" t="s">
        <v>92</v>
      </c>
      <c r="M23" t="s">
        <v>92</v>
      </c>
      <c r="O23" t="s">
        <v>93</v>
      </c>
      <c r="Q23" t="s">
        <v>119</v>
      </c>
      <c r="R23" t="s">
        <v>108</v>
      </c>
      <c r="S23" t="s">
        <v>92</v>
      </c>
      <c r="T23" t="s">
        <v>93</v>
      </c>
      <c r="U23" t="s">
        <v>93</v>
      </c>
      <c r="V23" t="s">
        <v>93</v>
      </c>
      <c r="W23" t="s">
        <v>93</v>
      </c>
      <c r="X23" t="s">
        <v>93</v>
      </c>
      <c r="Y23" t="s">
        <v>93</v>
      </c>
      <c r="AD23" t="s">
        <v>125</v>
      </c>
      <c r="AE23" t="s">
        <v>138</v>
      </c>
      <c r="AF23" t="s">
        <v>125</v>
      </c>
      <c r="AH23" t="s">
        <v>110</v>
      </c>
      <c r="AI23">
        <v>2</v>
      </c>
      <c r="AJ23">
        <v>3</v>
      </c>
      <c r="AK23">
        <v>4</v>
      </c>
      <c r="AL23" t="s">
        <v>120</v>
      </c>
      <c r="AM23" t="s">
        <v>100</v>
      </c>
      <c r="AN23" t="s">
        <v>100</v>
      </c>
      <c r="AO23">
        <v>4</v>
      </c>
      <c r="AP23">
        <v>4</v>
      </c>
      <c r="AQ23">
        <v>3</v>
      </c>
      <c r="AR23" t="s">
        <v>99</v>
      </c>
      <c r="AS23">
        <v>4</v>
      </c>
      <c r="AT23" t="s">
        <v>100</v>
      </c>
      <c r="AU23">
        <v>4</v>
      </c>
      <c r="AV23">
        <v>4</v>
      </c>
      <c r="AW23">
        <v>4</v>
      </c>
      <c r="AX23" t="s">
        <v>100</v>
      </c>
      <c r="AY23" t="s">
        <v>100</v>
      </c>
      <c r="AZ23" t="s">
        <v>100</v>
      </c>
      <c r="BA23">
        <v>3</v>
      </c>
      <c r="BB23">
        <v>4</v>
      </c>
      <c r="BC23">
        <v>4</v>
      </c>
      <c r="BD23">
        <v>4</v>
      </c>
      <c r="BE23">
        <v>4</v>
      </c>
      <c r="BF23" t="s">
        <v>100</v>
      </c>
      <c r="BG23">
        <v>3</v>
      </c>
      <c r="BH23">
        <v>4</v>
      </c>
      <c r="BI23">
        <v>4</v>
      </c>
      <c r="BJ23">
        <v>4</v>
      </c>
      <c r="BK23">
        <v>4</v>
      </c>
      <c r="BL23">
        <v>4</v>
      </c>
      <c r="BM23">
        <v>4</v>
      </c>
      <c r="BN23" t="s">
        <v>246</v>
      </c>
      <c r="BO23">
        <v>444.96</v>
      </c>
      <c r="BP23">
        <v>61.49</v>
      </c>
      <c r="CC23">
        <v>383.47</v>
      </c>
    </row>
    <row r="24" spans="1:81" x14ac:dyDescent="0.35">
      <c r="A24">
        <v>366</v>
      </c>
      <c r="B24" t="s">
        <v>248</v>
      </c>
      <c r="C24">
        <v>2</v>
      </c>
      <c r="D24" t="s">
        <v>88</v>
      </c>
      <c r="E24">
        <v>574749930</v>
      </c>
      <c r="F24" t="s">
        <v>249</v>
      </c>
      <c r="G24" t="s">
        <v>248</v>
      </c>
      <c r="H24" t="s">
        <v>93</v>
      </c>
      <c r="I24" t="s">
        <v>92</v>
      </c>
      <c r="J24" t="s">
        <v>93</v>
      </c>
      <c r="K24" t="s">
        <v>92</v>
      </c>
      <c r="L24" t="s">
        <v>92</v>
      </c>
      <c r="M24" t="s">
        <v>92</v>
      </c>
      <c r="O24" t="s">
        <v>92</v>
      </c>
      <c r="P24" t="s">
        <v>252</v>
      </c>
      <c r="Q24" t="s">
        <v>95</v>
      </c>
      <c r="S24" t="s">
        <v>92</v>
      </c>
      <c r="T24" t="s">
        <v>93</v>
      </c>
      <c r="U24" t="s">
        <v>92</v>
      </c>
      <c r="V24" t="s">
        <v>92</v>
      </c>
      <c r="W24" t="s">
        <v>93</v>
      </c>
      <c r="X24" t="s">
        <v>93</v>
      </c>
      <c r="Y24" t="s">
        <v>92</v>
      </c>
      <c r="AH24" t="s">
        <v>97</v>
      </c>
      <c r="AI24">
        <v>3</v>
      </c>
      <c r="AJ24">
        <v>3</v>
      </c>
      <c r="AK24">
        <v>3</v>
      </c>
      <c r="AL24" t="s">
        <v>120</v>
      </c>
      <c r="AM24">
        <v>3</v>
      </c>
      <c r="AN24">
        <v>4</v>
      </c>
      <c r="AO24">
        <v>3</v>
      </c>
      <c r="AP24">
        <v>3</v>
      </c>
      <c r="AQ24">
        <v>3</v>
      </c>
      <c r="AR24">
        <v>3</v>
      </c>
      <c r="AS24">
        <v>3</v>
      </c>
      <c r="AT24">
        <v>3</v>
      </c>
      <c r="AU24">
        <v>3</v>
      </c>
      <c r="AV24">
        <v>3</v>
      </c>
      <c r="AW24">
        <v>3</v>
      </c>
      <c r="AX24">
        <v>4</v>
      </c>
      <c r="AY24">
        <v>3</v>
      </c>
      <c r="AZ24">
        <v>3</v>
      </c>
      <c r="BA24">
        <v>3</v>
      </c>
      <c r="BB24">
        <v>3</v>
      </c>
      <c r="BC24">
        <v>3</v>
      </c>
      <c r="BD24">
        <v>3</v>
      </c>
      <c r="BE24">
        <v>4</v>
      </c>
      <c r="BF24">
        <v>3</v>
      </c>
      <c r="BG24">
        <v>4</v>
      </c>
      <c r="BH24">
        <v>4</v>
      </c>
      <c r="BI24">
        <v>4</v>
      </c>
      <c r="BJ24">
        <v>4</v>
      </c>
      <c r="BK24">
        <v>3</v>
      </c>
      <c r="BL24">
        <v>3</v>
      </c>
      <c r="BM24">
        <v>3</v>
      </c>
      <c r="BO24">
        <v>182.83</v>
      </c>
      <c r="BP24">
        <v>78.45</v>
      </c>
      <c r="CC24">
        <v>104.38</v>
      </c>
    </row>
    <row r="25" spans="1:81" x14ac:dyDescent="0.35">
      <c r="A25">
        <v>367</v>
      </c>
      <c r="B25" t="s">
        <v>253</v>
      </c>
      <c r="C25">
        <v>2</v>
      </c>
      <c r="D25" t="s">
        <v>88</v>
      </c>
      <c r="E25">
        <v>2109579000</v>
      </c>
      <c r="F25" t="s">
        <v>254</v>
      </c>
      <c r="G25" t="s">
        <v>253</v>
      </c>
      <c r="H25" t="s">
        <v>93</v>
      </c>
      <c r="I25" t="s">
        <v>92</v>
      </c>
      <c r="J25" t="s">
        <v>92</v>
      </c>
      <c r="K25" t="s">
        <v>92</v>
      </c>
      <c r="L25" t="s">
        <v>93</v>
      </c>
      <c r="M25" t="s">
        <v>93</v>
      </c>
      <c r="O25" t="s">
        <v>93</v>
      </c>
      <c r="Q25" t="s">
        <v>95</v>
      </c>
      <c r="R25" t="s">
        <v>108</v>
      </c>
      <c r="S25" t="s">
        <v>93</v>
      </c>
      <c r="T25" t="s">
        <v>93</v>
      </c>
      <c r="U25" t="s">
        <v>92</v>
      </c>
      <c r="V25" t="s">
        <v>93</v>
      </c>
      <c r="W25" t="s">
        <v>93</v>
      </c>
      <c r="X25" t="s">
        <v>93</v>
      </c>
      <c r="Y25" t="s">
        <v>93</v>
      </c>
      <c r="AD25">
        <v>3</v>
      </c>
      <c r="AE25">
        <v>4</v>
      </c>
      <c r="AF25" t="s">
        <v>138</v>
      </c>
      <c r="AG25" t="s">
        <v>257</v>
      </c>
      <c r="AH25" t="s">
        <v>97</v>
      </c>
      <c r="AI25" t="s">
        <v>98</v>
      </c>
      <c r="AJ25">
        <v>2</v>
      </c>
      <c r="AK25">
        <v>4</v>
      </c>
      <c r="AL25">
        <v>4</v>
      </c>
      <c r="AM25">
        <v>4</v>
      </c>
      <c r="AN25">
        <v>4</v>
      </c>
      <c r="AO25">
        <v>4</v>
      </c>
      <c r="AP25">
        <v>3</v>
      </c>
      <c r="AQ25">
        <v>4</v>
      </c>
      <c r="AR25" t="s">
        <v>100</v>
      </c>
      <c r="AS25">
        <v>3</v>
      </c>
      <c r="AT25">
        <v>3</v>
      </c>
      <c r="AU25">
        <v>4</v>
      </c>
      <c r="AV25">
        <v>4</v>
      </c>
      <c r="AW25">
        <v>4</v>
      </c>
      <c r="AX25">
        <v>4</v>
      </c>
      <c r="AY25">
        <v>4</v>
      </c>
      <c r="AZ25" t="s">
        <v>100</v>
      </c>
      <c r="BA25">
        <v>4</v>
      </c>
      <c r="BB25" t="s">
        <v>100</v>
      </c>
      <c r="BC25">
        <v>2</v>
      </c>
      <c r="BD25" t="s">
        <v>99</v>
      </c>
      <c r="BE25">
        <v>3</v>
      </c>
      <c r="BF25" t="s">
        <v>99</v>
      </c>
      <c r="BG25">
        <v>3</v>
      </c>
      <c r="BH25">
        <v>4</v>
      </c>
      <c r="BI25">
        <v>3</v>
      </c>
      <c r="BJ25" t="s">
        <v>111</v>
      </c>
      <c r="BK25">
        <v>4</v>
      </c>
      <c r="BL25">
        <v>3</v>
      </c>
      <c r="BM25">
        <v>4</v>
      </c>
      <c r="BN25" t="s">
        <v>258</v>
      </c>
      <c r="BO25">
        <v>751.62</v>
      </c>
      <c r="BP25">
        <v>353.02</v>
      </c>
      <c r="CC25">
        <v>398.6</v>
      </c>
    </row>
    <row r="26" spans="1:81" x14ac:dyDescent="0.35">
      <c r="A26">
        <v>368</v>
      </c>
      <c r="B26" t="s">
        <v>259</v>
      </c>
      <c r="C26">
        <v>2</v>
      </c>
      <c r="D26" t="s">
        <v>88</v>
      </c>
      <c r="E26">
        <v>487659046</v>
      </c>
      <c r="F26" t="s">
        <v>260</v>
      </c>
      <c r="G26" t="s">
        <v>259</v>
      </c>
      <c r="H26" t="s">
        <v>93</v>
      </c>
      <c r="I26" t="s">
        <v>92</v>
      </c>
      <c r="J26" t="s">
        <v>92</v>
      </c>
      <c r="K26" t="s">
        <v>93</v>
      </c>
      <c r="L26" t="s">
        <v>92</v>
      </c>
      <c r="M26" t="s">
        <v>92</v>
      </c>
      <c r="O26" t="s">
        <v>93</v>
      </c>
      <c r="Q26" t="s">
        <v>95</v>
      </c>
      <c r="R26" t="s">
        <v>108</v>
      </c>
      <c r="S26" t="s">
        <v>93</v>
      </c>
      <c r="T26" t="s">
        <v>92</v>
      </c>
      <c r="U26" t="s">
        <v>93</v>
      </c>
      <c r="V26" t="s">
        <v>92</v>
      </c>
      <c r="W26" t="s">
        <v>93</v>
      </c>
      <c r="X26" t="s">
        <v>93</v>
      </c>
      <c r="Y26" t="s">
        <v>93</v>
      </c>
      <c r="Z26" t="s">
        <v>263</v>
      </c>
      <c r="AD26" t="s">
        <v>125</v>
      </c>
      <c r="AE26" t="s">
        <v>125</v>
      </c>
      <c r="AF26" t="s">
        <v>125</v>
      </c>
      <c r="AH26" t="s">
        <v>173</v>
      </c>
      <c r="AI26">
        <v>4</v>
      </c>
      <c r="AJ26">
        <v>2</v>
      </c>
      <c r="AK26" t="s">
        <v>120</v>
      </c>
      <c r="AL26" t="s">
        <v>120</v>
      </c>
      <c r="AM26">
        <v>4</v>
      </c>
      <c r="AN26">
        <v>3</v>
      </c>
      <c r="AO26">
        <v>3</v>
      </c>
      <c r="AP26">
        <v>3</v>
      </c>
      <c r="AQ26">
        <v>3</v>
      </c>
      <c r="AR26">
        <v>4</v>
      </c>
      <c r="AS26">
        <v>3</v>
      </c>
      <c r="AT26">
        <v>4</v>
      </c>
      <c r="AU26">
        <v>4</v>
      </c>
      <c r="AV26">
        <v>4</v>
      </c>
      <c r="AW26">
        <v>3</v>
      </c>
      <c r="AX26" t="s">
        <v>100</v>
      </c>
      <c r="AY26">
        <v>3</v>
      </c>
      <c r="AZ26">
        <v>4</v>
      </c>
      <c r="BA26">
        <v>4</v>
      </c>
      <c r="BB26" t="s">
        <v>100</v>
      </c>
      <c r="BC26">
        <v>4</v>
      </c>
      <c r="BD26">
        <v>4</v>
      </c>
      <c r="BE26">
        <v>3</v>
      </c>
      <c r="BF26">
        <v>4</v>
      </c>
      <c r="BG26">
        <v>3</v>
      </c>
      <c r="BH26">
        <v>4</v>
      </c>
      <c r="BI26">
        <v>3</v>
      </c>
      <c r="BJ26">
        <v>4</v>
      </c>
      <c r="BK26" t="s">
        <v>111</v>
      </c>
      <c r="BL26">
        <v>3</v>
      </c>
      <c r="BM26" t="s">
        <v>111</v>
      </c>
      <c r="BO26">
        <v>617.84</v>
      </c>
      <c r="BP26">
        <v>186.19</v>
      </c>
      <c r="CC26">
        <v>431.65</v>
      </c>
    </row>
    <row r="27" spans="1:81" x14ac:dyDescent="0.35">
      <c r="A27">
        <v>369</v>
      </c>
      <c r="B27" t="s">
        <v>264</v>
      </c>
      <c r="C27">
        <v>2</v>
      </c>
      <c r="D27" t="s">
        <v>88</v>
      </c>
      <c r="E27">
        <v>1694823900</v>
      </c>
      <c r="F27" t="s">
        <v>265</v>
      </c>
      <c r="G27" t="s">
        <v>264</v>
      </c>
      <c r="H27" t="s">
        <v>93</v>
      </c>
      <c r="I27" t="s">
        <v>92</v>
      </c>
      <c r="J27" t="s">
        <v>92</v>
      </c>
      <c r="K27" t="s">
        <v>92</v>
      </c>
      <c r="L27" t="s">
        <v>93</v>
      </c>
      <c r="M27" t="s">
        <v>93</v>
      </c>
      <c r="O27" t="s">
        <v>93</v>
      </c>
      <c r="Q27" t="s">
        <v>119</v>
      </c>
      <c r="R27" t="s">
        <v>108</v>
      </c>
      <c r="S27" t="s">
        <v>92</v>
      </c>
      <c r="T27" t="s">
        <v>93</v>
      </c>
      <c r="U27" t="s">
        <v>92</v>
      </c>
      <c r="V27" t="s">
        <v>93</v>
      </c>
      <c r="W27" t="s">
        <v>93</v>
      </c>
      <c r="X27" t="s">
        <v>93</v>
      </c>
      <c r="Y27" t="s">
        <v>92</v>
      </c>
      <c r="AD27">
        <v>4</v>
      </c>
      <c r="AE27">
        <v>4</v>
      </c>
      <c r="AF27" t="s">
        <v>138</v>
      </c>
      <c r="AH27" t="s">
        <v>97</v>
      </c>
      <c r="AI27">
        <v>2</v>
      </c>
      <c r="AJ27">
        <v>3</v>
      </c>
      <c r="AK27">
        <v>3</v>
      </c>
      <c r="AL27" t="s">
        <v>120</v>
      </c>
      <c r="AM27">
        <v>4</v>
      </c>
      <c r="AN27">
        <v>4</v>
      </c>
      <c r="AO27">
        <v>3</v>
      </c>
      <c r="AP27">
        <v>3</v>
      </c>
      <c r="AQ27">
        <v>2</v>
      </c>
      <c r="AR27">
        <v>2</v>
      </c>
      <c r="AS27">
        <v>3</v>
      </c>
      <c r="AT27">
        <v>3</v>
      </c>
      <c r="AU27">
        <v>4</v>
      </c>
      <c r="AV27">
        <v>4</v>
      </c>
      <c r="AW27">
        <v>3</v>
      </c>
      <c r="AX27">
        <v>3</v>
      </c>
      <c r="AY27">
        <v>4</v>
      </c>
      <c r="AZ27">
        <v>4</v>
      </c>
      <c r="BA27">
        <v>3</v>
      </c>
      <c r="BB27">
        <v>3</v>
      </c>
      <c r="BC27">
        <v>2</v>
      </c>
      <c r="BD27">
        <v>2</v>
      </c>
      <c r="BE27">
        <v>3</v>
      </c>
      <c r="BF27">
        <v>3</v>
      </c>
      <c r="BG27">
        <v>4</v>
      </c>
      <c r="BH27">
        <v>4</v>
      </c>
      <c r="BI27">
        <v>4</v>
      </c>
      <c r="BJ27" t="s">
        <v>111</v>
      </c>
      <c r="BK27" t="s">
        <v>111</v>
      </c>
      <c r="BL27" t="s">
        <v>111</v>
      </c>
      <c r="BM27">
        <v>4</v>
      </c>
      <c r="BO27">
        <v>262.38</v>
      </c>
      <c r="BP27">
        <v>130.58000000000001</v>
      </c>
      <c r="CC27">
        <v>131.80000000000001</v>
      </c>
    </row>
    <row r="28" spans="1:81" x14ac:dyDescent="0.35">
      <c r="A28">
        <v>370</v>
      </c>
      <c r="B28" t="s">
        <v>268</v>
      </c>
      <c r="C28">
        <v>2</v>
      </c>
      <c r="D28" t="s">
        <v>88</v>
      </c>
      <c r="E28">
        <v>476859155</v>
      </c>
      <c r="F28" t="s">
        <v>269</v>
      </c>
      <c r="G28" t="s">
        <v>268</v>
      </c>
      <c r="H28" t="s">
        <v>93</v>
      </c>
      <c r="I28" t="s">
        <v>92</v>
      </c>
      <c r="J28" t="s">
        <v>92</v>
      </c>
      <c r="K28" t="s">
        <v>92</v>
      </c>
      <c r="L28" t="s">
        <v>92</v>
      </c>
      <c r="M28" t="s">
        <v>93</v>
      </c>
      <c r="O28" t="s">
        <v>92</v>
      </c>
      <c r="P28" t="s">
        <v>272</v>
      </c>
      <c r="Q28" t="s">
        <v>95</v>
      </c>
      <c r="S28" t="s">
        <v>92</v>
      </c>
      <c r="T28" t="s">
        <v>93</v>
      </c>
      <c r="U28" t="s">
        <v>92</v>
      </c>
      <c r="V28" t="s">
        <v>93</v>
      </c>
      <c r="W28" t="s">
        <v>92</v>
      </c>
      <c r="X28" t="s">
        <v>92</v>
      </c>
      <c r="Y28" t="s">
        <v>93</v>
      </c>
      <c r="Z28" t="s">
        <v>273</v>
      </c>
      <c r="AG28" t="s">
        <v>274</v>
      </c>
      <c r="AH28" t="s">
        <v>173</v>
      </c>
      <c r="AI28">
        <v>3</v>
      </c>
      <c r="AJ28">
        <v>3</v>
      </c>
      <c r="AK28">
        <v>3</v>
      </c>
      <c r="AL28">
        <v>4</v>
      </c>
      <c r="AM28">
        <v>4</v>
      </c>
      <c r="AN28">
        <v>4</v>
      </c>
      <c r="AO28">
        <v>4</v>
      </c>
      <c r="AP28">
        <v>4</v>
      </c>
      <c r="AQ28" t="s">
        <v>100</v>
      </c>
      <c r="AR28" t="s">
        <v>100</v>
      </c>
      <c r="AS28">
        <v>3</v>
      </c>
      <c r="AT28">
        <v>4</v>
      </c>
      <c r="AU28">
        <v>3</v>
      </c>
      <c r="AV28">
        <v>4</v>
      </c>
      <c r="AW28">
        <v>4</v>
      </c>
      <c r="AX28" t="s">
        <v>100</v>
      </c>
      <c r="AY28" t="s">
        <v>100</v>
      </c>
      <c r="AZ28">
        <v>3</v>
      </c>
      <c r="BA28">
        <v>3</v>
      </c>
      <c r="BB28">
        <v>4</v>
      </c>
      <c r="BC28">
        <v>4</v>
      </c>
      <c r="BD28">
        <v>4</v>
      </c>
      <c r="BE28">
        <v>4</v>
      </c>
      <c r="BF28" t="s">
        <v>100</v>
      </c>
      <c r="BG28" t="s">
        <v>111</v>
      </c>
      <c r="BH28" t="s">
        <v>111</v>
      </c>
      <c r="BI28">
        <v>4</v>
      </c>
      <c r="BJ28">
        <v>4</v>
      </c>
      <c r="BK28">
        <v>3</v>
      </c>
      <c r="BL28" t="s">
        <v>111</v>
      </c>
      <c r="BM28" t="s">
        <v>111</v>
      </c>
      <c r="BO28">
        <v>235.68</v>
      </c>
      <c r="BP28">
        <v>123.58</v>
      </c>
      <c r="CC28">
        <v>112.1</v>
      </c>
    </row>
    <row r="29" spans="1:81" x14ac:dyDescent="0.35">
      <c r="A29">
        <v>371</v>
      </c>
      <c r="B29" t="s">
        <v>275</v>
      </c>
      <c r="C29">
        <v>2</v>
      </c>
      <c r="D29" t="s">
        <v>88</v>
      </c>
      <c r="E29">
        <v>235641000</v>
      </c>
      <c r="F29" t="s">
        <v>276</v>
      </c>
      <c r="G29" t="s">
        <v>275</v>
      </c>
      <c r="H29" t="s">
        <v>93</v>
      </c>
      <c r="I29" t="s">
        <v>93</v>
      </c>
      <c r="J29" t="s">
        <v>92</v>
      </c>
      <c r="K29" t="s">
        <v>92</v>
      </c>
      <c r="L29" t="s">
        <v>92</v>
      </c>
      <c r="M29" t="s">
        <v>93</v>
      </c>
      <c r="O29" t="s">
        <v>92</v>
      </c>
      <c r="P29" t="s">
        <v>279</v>
      </c>
      <c r="Q29" t="s">
        <v>119</v>
      </c>
      <c r="S29" t="s">
        <v>92</v>
      </c>
      <c r="T29" t="s">
        <v>93</v>
      </c>
      <c r="U29" t="s">
        <v>92</v>
      </c>
      <c r="V29" t="s">
        <v>92</v>
      </c>
      <c r="W29" t="s">
        <v>93</v>
      </c>
      <c r="X29" t="s">
        <v>92</v>
      </c>
      <c r="Y29" t="s">
        <v>92</v>
      </c>
      <c r="AH29" t="s">
        <v>110</v>
      </c>
      <c r="AI29">
        <v>2</v>
      </c>
      <c r="AJ29">
        <v>3</v>
      </c>
      <c r="AK29">
        <v>3</v>
      </c>
      <c r="AL29">
        <v>4</v>
      </c>
      <c r="AM29">
        <v>3</v>
      </c>
      <c r="AN29">
        <v>2</v>
      </c>
      <c r="AO29">
        <v>3</v>
      </c>
      <c r="AP29">
        <v>3</v>
      </c>
      <c r="AQ29">
        <v>3</v>
      </c>
      <c r="AR29">
        <v>3</v>
      </c>
      <c r="AS29">
        <v>3</v>
      </c>
      <c r="AT29">
        <v>3</v>
      </c>
      <c r="AU29">
        <v>4</v>
      </c>
      <c r="AV29" t="s">
        <v>100</v>
      </c>
      <c r="AW29">
        <v>3</v>
      </c>
      <c r="AX29">
        <v>4</v>
      </c>
      <c r="AY29">
        <v>3</v>
      </c>
      <c r="AZ29" t="s">
        <v>99</v>
      </c>
      <c r="BA29">
        <v>3</v>
      </c>
      <c r="BB29">
        <v>4</v>
      </c>
      <c r="BC29">
        <v>3</v>
      </c>
      <c r="BD29" t="s">
        <v>100</v>
      </c>
      <c r="BE29">
        <v>3</v>
      </c>
      <c r="BF29">
        <v>4</v>
      </c>
      <c r="BG29" t="s">
        <v>111</v>
      </c>
      <c r="BH29">
        <v>4</v>
      </c>
      <c r="BI29">
        <v>4</v>
      </c>
      <c r="BJ29">
        <v>4</v>
      </c>
      <c r="BK29">
        <v>4</v>
      </c>
      <c r="BL29" t="s">
        <v>111</v>
      </c>
      <c r="BM29">
        <v>4</v>
      </c>
      <c r="BO29">
        <v>224.41</v>
      </c>
      <c r="BP29">
        <v>87.09</v>
      </c>
      <c r="CC29">
        <v>137.32</v>
      </c>
    </row>
    <row r="30" spans="1:81" x14ac:dyDescent="0.35">
      <c r="A30">
        <v>372</v>
      </c>
      <c r="B30" t="s">
        <v>280</v>
      </c>
      <c r="C30">
        <v>2</v>
      </c>
      <c r="D30" t="s">
        <v>88</v>
      </c>
      <c r="E30">
        <v>1260833845</v>
      </c>
      <c r="F30" t="s">
        <v>281</v>
      </c>
      <c r="G30" t="s">
        <v>280</v>
      </c>
      <c r="H30" t="s">
        <v>93</v>
      </c>
      <c r="I30" t="s">
        <v>92</v>
      </c>
      <c r="J30" t="s">
        <v>93</v>
      </c>
      <c r="K30" t="s">
        <v>92</v>
      </c>
      <c r="L30" t="s">
        <v>92</v>
      </c>
      <c r="M30" t="s">
        <v>93</v>
      </c>
      <c r="O30" t="s">
        <v>92</v>
      </c>
      <c r="P30" t="s">
        <v>284</v>
      </c>
      <c r="Q30" t="s">
        <v>119</v>
      </c>
      <c r="S30" t="s">
        <v>92</v>
      </c>
      <c r="T30" t="s">
        <v>93</v>
      </c>
      <c r="U30" t="s">
        <v>92</v>
      </c>
      <c r="V30" t="s">
        <v>93</v>
      </c>
      <c r="W30" t="s">
        <v>92</v>
      </c>
      <c r="X30" t="s">
        <v>93</v>
      </c>
      <c r="Y30" t="s">
        <v>92</v>
      </c>
      <c r="AH30" t="s">
        <v>97</v>
      </c>
      <c r="AI30">
        <v>2</v>
      </c>
      <c r="AJ30">
        <v>3</v>
      </c>
      <c r="AK30" t="s">
        <v>120</v>
      </c>
      <c r="AL30">
        <v>4</v>
      </c>
      <c r="AM30">
        <v>4</v>
      </c>
      <c r="AN30" t="s">
        <v>100</v>
      </c>
      <c r="AO30">
        <v>3</v>
      </c>
      <c r="AP30">
        <v>3</v>
      </c>
      <c r="AQ30">
        <v>3</v>
      </c>
      <c r="AR30">
        <v>3</v>
      </c>
      <c r="AS30">
        <v>3</v>
      </c>
      <c r="AT30" t="s">
        <v>100</v>
      </c>
      <c r="AU30" t="s">
        <v>100</v>
      </c>
      <c r="AV30" t="s">
        <v>100</v>
      </c>
      <c r="AW30">
        <v>3</v>
      </c>
      <c r="AX30" t="s">
        <v>99</v>
      </c>
      <c r="AY30">
        <v>3</v>
      </c>
      <c r="AZ30" t="s">
        <v>100</v>
      </c>
      <c r="BA30">
        <v>4</v>
      </c>
      <c r="BB30" t="s">
        <v>100</v>
      </c>
      <c r="BC30" t="s">
        <v>99</v>
      </c>
      <c r="BD30" t="s">
        <v>99</v>
      </c>
      <c r="BE30">
        <v>4</v>
      </c>
      <c r="BF30" t="s">
        <v>100</v>
      </c>
      <c r="BG30" t="s">
        <v>111</v>
      </c>
      <c r="BH30" t="s">
        <v>111</v>
      </c>
      <c r="BI30" t="s">
        <v>111</v>
      </c>
      <c r="BJ30">
        <v>3</v>
      </c>
      <c r="BK30">
        <v>3</v>
      </c>
      <c r="BL30" t="s">
        <v>111</v>
      </c>
      <c r="BM30" t="s">
        <v>111</v>
      </c>
      <c r="BO30">
        <v>217.64</v>
      </c>
      <c r="BP30">
        <v>62.48</v>
      </c>
      <c r="CC30">
        <v>155.16</v>
      </c>
    </row>
    <row r="31" spans="1:81" x14ac:dyDescent="0.35">
      <c r="A31">
        <v>374</v>
      </c>
      <c r="B31" t="s">
        <v>286</v>
      </c>
      <c r="C31">
        <v>2</v>
      </c>
      <c r="D31" t="s">
        <v>88</v>
      </c>
      <c r="E31">
        <v>630374385</v>
      </c>
      <c r="F31" t="s">
        <v>287</v>
      </c>
      <c r="G31" t="s">
        <v>286</v>
      </c>
      <c r="H31" t="s">
        <v>93</v>
      </c>
      <c r="I31" t="s">
        <v>92</v>
      </c>
      <c r="J31" t="s">
        <v>92</v>
      </c>
      <c r="K31" t="s">
        <v>92</v>
      </c>
      <c r="L31" t="s">
        <v>93</v>
      </c>
      <c r="M31" t="s">
        <v>93</v>
      </c>
      <c r="O31" t="s">
        <v>93</v>
      </c>
      <c r="Q31" t="s">
        <v>95</v>
      </c>
      <c r="R31" t="s">
        <v>93</v>
      </c>
      <c r="S31" t="s">
        <v>92</v>
      </c>
      <c r="T31" t="s">
        <v>93</v>
      </c>
      <c r="U31" t="s">
        <v>92</v>
      </c>
      <c r="V31" t="s">
        <v>93</v>
      </c>
      <c r="W31" t="s">
        <v>93</v>
      </c>
      <c r="X31" t="s">
        <v>93</v>
      </c>
      <c r="Y31" t="s">
        <v>93</v>
      </c>
      <c r="AD31" t="s">
        <v>125</v>
      </c>
      <c r="AE31" t="s">
        <v>138</v>
      </c>
      <c r="AF31" t="s">
        <v>138</v>
      </c>
      <c r="AH31" t="s">
        <v>97</v>
      </c>
      <c r="AI31">
        <v>3</v>
      </c>
      <c r="AJ31">
        <v>2</v>
      </c>
      <c r="AK31">
        <v>4</v>
      </c>
      <c r="AL31" t="s">
        <v>120</v>
      </c>
      <c r="AM31">
        <v>4</v>
      </c>
      <c r="AN31">
        <v>3</v>
      </c>
      <c r="AO31" t="s">
        <v>100</v>
      </c>
      <c r="AP31">
        <v>4</v>
      </c>
      <c r="AQ31" t="s">
        <v>100</v>
      </c>
      <c r="AR31">
        <v>3</v>
      </c>
      <c r="AS31">
        <v>4</v>
      </c>
      <c r="AT31">
        <v>4</v>
      </c>
      <c r="AU31">
        <v>4</v>
      </c>
      <c r="AV31">
        <v>4</v>
      </c>
      <c r="AW31">
        <v>4</v>
      </c>
      <c r="AX31" t="s">
        <v>100</v>
      </c>
      <c r="AY31">
        <v>3</v>
      </c>
      <c r="AZ31">
        <v>2</v>
      </c>
      <c r="BA31" t="s">
        <v>100</v>
      </c>
      <c r="BB31" t="s">
        <v>100</v>
      </c>
      <c r="BC31">
        <v>4</v>
      </c>
      <c r="BD31">
        <v>3</v>
      </c>
      <c r="BE31" t="s">
        <v>100</v>
      </c>
      <c r="BF31">
        <v>3</v>
      </c>
      <c r="BG31">
        <v>4</v>
      </c>
      <c r="BH31">
        <v>4</v>
      </c>
      <c r="BI31">
        <v>3</v>
      </c>
      <c r="BJ31" t="s">
        <v>111</v>
      </c>
      <c r="BK31">
        <v>4</v>
      </c>
      <c r="BL31">
        <v>4</v>
      </c>
      <c r="BM31">
        <v>4</v>
      </c>
      <c r="BN31" t="s">
        <v>290</v>
      </c>
      <c r="BO31">
        <v>457.62</v>
      </c>
      <c r="BP31">
        <v>85.91</v>
      </c>
      <c r="CC31">
        <v>371.71</v>
      </c>
    </row>
    <row r="32" spans="1:81" x14ac:dyDescent="0.35">
      <c r="A32">
        <v>375</v>
      </c>
      <c r="B32" t="s">
        <v>291</v>
      </c>
      <c r="C32">
        <v>2</v>
      </c>
      <c r="D32" t="s">
        <v>88</v>
      </c>
      <c r="E32">
        <v>1785591970</v>
      </c>
      <c r="F32" t="s">
        <v>292</v>
      </c>
      <c r="G32" t="s">
        <v>291</v>
      </c>
      <c r="H32" t="s">
        <v>93</v>
      </c>
      <c r="I32" t="s">
        <v>92</v>
      </c>
      <c r="J32" t="s">
        <v>93</v>
      </c>
      <c r="K32" t="s">
        <v>92</v>
      </c>
      <c r="L32" t="s">
        <v>92</v>
      </c>
      <c r="M32" t="s">
        <v>92</v>
      </c>
      <c r="O32" t="s">
        <v>93</v>
      </c>
      <c r="Q32" t="s">
        <v>119</v>
      </c>
      <c r="R32" t="s">
        <v>108</v>
      </c>
      <c r="S32" t="s">
        <v>92</v>
      </c>
      <c r="T32" t="s">
        <v>93</v>
      </c>
      <c r="U32" t="s">
        <v>92</v>
      </c>
      <c r="V32" t="s">
        <v>93</v>
      </c>
      <c r="W32" t="s">
        <v>93</v>
      </c>
      <c r="X32" t="s">
        <v>92</v>
      </c>
      <c r="Y32" t="s">
        <v>92</v>
      </c>
      <c r="AD32">
        <v>4</v>
      </c>
      <c r="AE32" t="s">
        <v>138</v>
      </c>
      <c r="AF32" t="s">
        <v>138</v>
      </c>
      <c r="AH32" t="s">
        <v>110</v>
      </c>
      <c r="AI32" t="s">
        <v>98</v>
      </c>
      <c r="AJ32">
        <v>2</v>
      </c>
      <c r="AK32">
        <v>3</v>
      </c>
      <c r="AL32" t="s">
        <v>120</v>
      </c>
      <c r="AM32">
        <v>3</v>
      </c>
      <c r="AN32">
        <v>3</v>
      </c>
      <c r="AO32">
        <v>2</v>
      </c>
      <c r="AP32">
        <v>2</v>
      </c>
      <c r="AQ32">
        <v>2</v>
      </c>
      <c r="AR32">
        <v>2</v>
      </c>
      <c r="AS32">
        <v>2</v>
      </c>
      <c r="AT32">
        <v>3</v>
      </c>
      <c r="AU32">
        <v>4</v>
      </c>
      <c r="AV32">
        <v>3</v>
      </c>
      <c r="AW32">
        <v>4</v>
      </c>
      <c r="AX32">
        <v>4</v>
      </c>
      <c r="AY32">
        <v>4</v>
      </c>
      <c r="AZ32">
        <v>4</v>
      </c>
      <c r="BA32">
        <v>2</v>
      </c>
      <c r="BB32">
        <v>2</v>
      </c>
      <c r="BC32">
        <v>2</v>
      </c>
      <c r="BD32">
        <v>2</v>
      </c>
      <c r="BE32">
        <v>2</v>
      </c>
      <c r="BF32">
        <v>3</v>
      </c>
      <c r="BG32">
        <v>4</v>
      </c>
      <c r="BH32">
        <v>3</v>
      </c>
      <c r="BI32">
        <v>4</v>
      </c>
      <c r="BJ32">
        <v>4</v>
      </c>
      <c r="BK32">
        <v>3</v>
      </c>
      <c r="BL32">
        <v>4</v>
      </c>
      <c r="BM32">
        <v>3</v>
      </c>
      <c r="BO32">
        <v>387.72</v>
      </c>
      <c r="BP32">
        <v>212.87</v>
      </c>
      <c r="CC32">
        <v>174.85</v>
      </c>
    </row>
    <row r="33" spans="1:81" x14ac:dyDescent="0.35">
      <c r="A33">
        <v>376</v>
      </c>
      <c r="B33" t="s">
        <v>295</v>
      </c>
      <c r="C33">
        <v>2</v>
      </c>
      <c r="D33" t="s">
        <v>88</v>
      </c>
      <c r="E33">
        <v>1425968181</v>
      </c>
      <c r="F33" t="s">
        <v>296</v>
      </c>
      <c r="G33" t="s">
        <v>295</v>
      </c>
      <c r="H33" t="s">
        <v>93</v>
      </c>
      <c r="I33" t="s">
        <v>92</v>
      </c>
      <c r="J33" t="s">
        <v>93</v>
      </c>
      <c r="K33" t="s">
        <v>92</v>
      </c>
      <c r="L33" t="s">
        <v>92</v>
      </c>
      <c r="M33" t="s">
        <v>93</v>
      </c>
      <c r="O33" t="s">
        <v>93</v>
      </c>
      <c r="Q33" t="s">
        <v>119</v>
      </c>
      <c r="R33" t="s">
        <v>93</v>
      </c>
      <c r="S33" t="s">
        <v>92</v>
      </c>
      <c r="T33" t="s">
        <v>92</v>
      </c>
      <c r="U33" t="s">
        <v>92</v>
      </c>
      <c r="V33" t="s">
        <v>93</v>
      </c>
      <c r="W33" t="s">
        <v>93</v>
      </c>
      <c r="X33" t="s">
        <v>92</v>
      </c>
      <c r="Y33" t="s">
        <v>92</v>
      </c>
      <c r="AD33">
        <v>3</v>
      </c>
      <c r="AE33" t="s">
        <v>138</v>
      </c>
      <c r="AF33" t="s">
        <v>138</v>
      </c>
      <c r="AH33" t="s">
        <v>110</v>
      </c>
      <c r="AI33" t="s">
        <v>98</v>
      </c>
      <c r="AJ33" t="s">
        <v>98</v>
      </c>
      <c r="AK33">
        <v>3</v>
      </c>
      <c r="AL33" t="s">
        <v>120</v>
      </c>
      <c r="AM33">
        <v>4</v>
      </c>
      <c r="AN33" t="s">
        <v>100</v>
      </c>
      <c r="AO33">
        <v>3</v>
      </c>
      <c r="AP33">
        <v>3</v>
      </c>
      <c r="AQ33" t="s">
        <v>100</v>
      </c>
      <c r="AR33" t="s">
        <v>100</v>
      </c>
      <c r="AS33" t="s">
        <v>100</v>
      </c>
      <c r="AT33" t="s">
        <v>100</v>
      </c>
      <c r="AU33" t="s">
        <v>100</v>
      </c>
      <c r="AV33" t="s">
        <v>100</v>
      </c>
      <c r="AW33" t="s">
        <v>100</v>
      </c>
      <c r="AX33" t="s">
        <v>100</v>
      </c>
      <c r="AY33">
        <v>2</v>
      </c>
      <c r="AZ33">
        <v>4</v>
      </c>
      <c r="BA33">
        <v>3</v>
      </c>
      <c r="BB33" t="s">
        <v>100</v>
      </c>
      <c r="BC33">
        <v>3</v>
      </c>
      <c r="BD33" t="s">
        <v>100</v>
      </c>
      <c r="BE33" t="s">
        <v>100</v>
      </c>
      <c r="BF33" t="s">
        <v>100</v>
      </c>
      <c r="BG33" t="s">
        <v>111</v>
      </c>
      <c r="BH33">
        <v>3</v>
      </c>
      <c r="BI33">
        <v>3</v>
      </c>
      <c r="BJ33" t="s">
        <v>111</v>
      </c>
      <c r="BK33" t="s">
        <v>111</v>
      </c>
      <c r="BL33" t="s">
        <v>111</v>
      </c>
      <c r="BM33">
        <v>4</v>
      </c>
      <c r="BO33">
        <v>195.64</v>
      </c>
      <c r="BP33">
        <v>62.18</v>
      </c>
      <c r="CC33">
        <v>133.46</v>
      </c>
    </row>
    <row r="34" spans="1:81" x14ac:dyDescent="0.35">
      <c r="A34">
        <v>377</v>
      </c>
      <c r="B34" t="s">
        <v>299</v>
      </c>
      <c r="C34">
        <v>2</v>
      </c>
      <c r="D34" t="s">
        <v>88</v>
      </c>
      <c r="E34">
        <v>326712527</v>
      </c>
      <c r="F34" t="s">
        <v>300</v>
      </c>
      <c r="G34" t="s">
        <v>299</v>
      </c>
      <c r="H34" t="s">
        <v>93</v>
      </c>
      <c r="I34" t="s">
        <v>92</v>
      </c>
      <c r="J34" t="s">
        <v>92</v>
      </c>
      <c r="K34" t="s">
        <v>92</v>
      </c>
      <c r="L34" t="s">
        <v>92</v>
      </c>
      <c r="M34" t="s">
        <v>93</v>
      </c>
      <c r="O34" t="s">
        <v>92</v>
      </c>
      <c r="P34" t="s">
        <v>303</v>
      </c>
      <c r="Q34" t="s">
        <v>119</v>
      </c>
      <c r="S34" t="s">
        <v>92</v>
      </c>
      <c r="T34" t="s">
        <v>93</v>
      </c>
      <c r="U34" t="s">
        <v>92</v>
      </c>
      <c r="V34" t="s">
        <v>92</v>
      </c>
      <c r="W34" t="s">
        <v>93</v>
      </c>
      <c r="X34" t="s">
        <v>93</v>
      </c>
      <c r="Y34" t="s">
        <v>93</v>
      </c>
      <c r="AH34" t="s">
        <v>97</v>
      </c>
      <c r="AI34" t="s">
        <v>98</v>
      </c>
      <c r="AJ34">
        <v>2</v>
      </c>
      <c r="AK34">
        <v>4</v>
      </c>
      <c r="AL34">
        <v>4</v>
      </c>
      <c r="AM34">
        <v>4</v>
      </c>
      <c r="AN34">
        <v>3</v>
      </c>
      <c r="AO34">
        <v>3</v>
      </c>
      <c r="AP34">
        <v>4</v>
      </c>
      <c r="AQ34">
        <v>2</v>
      </c>
      <c r="AR34">
        <v>2</v>
      </c>
      <c r="AS34" t="s">
        <v>100</v>
      </c>
      <c r="AT34">
        <v>4</v>
      </c>
      <c r="AU34" t="s">
        <v>100</v>
      </c>
      <c r="AV34" t="s">
        <v>100</v>
      </c>
      <c r="AW34" t="s">
        <v>100</v>
      </c>
      <c r="AX34" t="s">
        <v>100</v>
      </c>
      <c r="AY34" t="s">
        <v>100</v>
      </c>
      <c r="AZ34" t="s">
        <v>100</v>
      </c>
      <c r="BA34">
        <v>4</v>
      </c>
      <c r="BB34" t="s">
        <v>100</v>
      </c>
      <c r="BC34" t="s">
        <v>100</v>
      </c>
      <c r="BD34" t="s">
        <v>100</v>
      </c>
      <c r="BE34">
        <v>3</v>
      </c>
      <c r="BF34">
        <v>3</v>
      </c>
      <c r="BG34">
        <v>3</v>
      </c>
      <c r="BH34">
        <v>4</v>
      </c>
      <c r="BI34">
        <v>4</v>
      </c>
      <c r="BJ34" t="s">
        <v>111</v>
      </c>
      <c r="BK34">
        <v>3</v>
      </c>
      <c r="BL34">
        <v>4</v>
      </c>
      <c r="BM34">
        <v>4</v>
      </c>
      <c r="BO34">
        <v>679.06</v>
      </c>
      <c r="BP34">
        <v>419.11</v>
      </c>
      <c r="CC34">
        <v>259.95</v>
      </c>
    </row>
    <row r="35" spans="1:81" x14ac:dyDescent="0.35">
      <c r="A35">
        <v>378</v>
      </c>
      <c r="B35" t="s">
        <v>304</v>
      </c>
      <c r="C35">
        <v>2</v>
      </c>
      <c r="D35" t="s">
        <v>88</v>
      </c>
      <c r="E35">
        <v>581600446</v>
      </c>
      <c r="F35" t="s">
        <v>305</v>
      </c>
      <c r="G35" t="s">
        <v>304</v>
      </c>
      <c r="H35" t="s">
        <v>93</v>
      </c>
      <c r="I35" t="s">
        <v>92</v>
      </c>
      <c r="J35" t="s">
        <v>92</v>
      </c>
      <c r="K35" t="s">
        <v>92</v>
      </c>
      <c r="L35" t="s">
        <v>92</v>
      </c>
      <c r="M35" t="s">
        <v>92</v>
      </c>
      <c r="O35" t="s">
        <v>93</v>
      </c>
      <c r="Q35" t="s">
        <v>119</v>
      </c>
      <c r="R35" t="s">
        <v>93</v>
      </c>
      <c r="S35" t="s">
        <v>92</v>
      </c>
      <c r="T35" t="s">
        <v>93</v>
      </c>
      <c r="U35" t="s">
        <v>92</v>
      </c>
      <c r="V35" t="s">
        <v>92</v>
      </c>
      <c r="W35" t="s">
        <v>92</v>
      </c>
      <c r="X35" t="s">
        <v>92</v>
      </c>
      <c r="Y35" t="s">
        <v>92</v>
      </c>
      <c r="AD35" t="s">
        <v>125</v>
      </c>
      <c r="AE35" t="s">
        <v>138</v>
      </c>
      <c r="AF35" t="s">
        <v>125</v>
      </c>
      <c r="AG35" t="s">
        <v>308</v>
      </c>
      <c r="AH35" t="s">
        <v>110</v>
      </c>
      <c r="AI35" t="s">
        <v>98</v>
      </c>
      <c r="AJ35">
        <v>2</v>
      </c>
      <c r="AK35">
        <v>4</v>
      </c>
      <c r="AL35" t="s">
        <v>120</v>
      </c>
      <c r="AM35">
        <v>3</v>
      </c>
      <c r="AN35">
        <v>3</v>
      </c>
      <c r="AO35">
        <v>3</v>
      </c>
      <c r="AP35">
        <v>2</v>
      </c>
      <c r="AQ35">
        <v>2</v>
      </c>
      <c r="AR35">
        <v>2</v>
      </c>
      <c r="AS35" t="s">
        <v>99</v>
      </c>
      <c r="AT35" t="s">
        <v>99</v>
      </c>
      <c r="AU35">
        <v>4</v>
      </c>
      <c r="AV35">
        <v>4</v>
      </c>
      <c r="AW35">
        <v>3</v>
      </c>
      <c r="AX35">
        <v>4</v>
      </c>
      <c r="AY35" t="s">
        <v>100</v>
      </c>
      <c r="AZ35" t="s">
        <v>100</v>
      </c>
      <c r="BA35" t="s">
        <v>100</v>
      </c>
      <c r="BB35" t="s">
        <v>100</v>
      </c>
      <c r="BC35">
        <v>3</v>
      </c>
      <c r="BD35">
        <v>3</v>
      </c>
      <c r="BE35">
        <v>2</v>
      </c>
      <c r="BF35">
        <v>2</v>
      </c>
      <c r="BG35" t="s">
        <v>111</v>
      </c>
      <c r="BH35" t="s">
        <v>111</v>
      </c>
      <c r="BI35" t="s">
        <v>111</v>
      </c>
      <c r="BJ35" t="s">
        <v>111</v>
      </c>
      <c r="BK35">
        <v>4</v>
      </c>
      <c r="BL35" t="s">
        <v>111</v>
      </c>
      <c r="BM35">
        <v>3</v>
      </c>
      <c r="BO35">
        <v>191.57</v>
      </c>
      <c r="BP35">
        <v>89.5</v>
      </c>
      <c r="CC35">
        <v>102.07</v>
      </c>
    </row>
    <row r="36" spans="1:81" x14ac:dyDescent="0.35">
      <c r="A36">
        <v>379</v>
      </c>
      <c r="B36" t="s">
        <v>309</v>
      </c>
      <c r="C36">
        <v>2</v>
      </c>
      <c r="D36" t="s">
        <v>88</v>
      </c>
      <c r="E36">
        <v>1057958773</v>
      </c>
      <c r="F36" t="s">
        <v>310</v>
      </c>
      <c r="G36" t="s">
        <v>309</v>
      </c>
      <c r="H36" t="s">
        <v>93</v>
      </c>
      <c r="I36" t="s">
        <v>92</v>
      </c>
      <c r="J36" t="s">
        <v>92</v>
      </c>
      <c r="K36" t="s">
        <v>92</v>
      </c>
      <c r="L36" t="s">
        <v>92</v>
      </c>
      <c r="M36" t="s">
        <v>92</v>
      </c>
      <c r="O36" t="s">
        <v>92</v>
      </c>
      <c r="P36" t="s">
        <v>313</v>
      </c>
      <c r="Q36" t="s">
        <v>119</v>
      </c>
      <c r="S36" t="s">
        <v>93</v>
      </c>
      <c r="T36" t="s">
        <v>92</v>
      </c>
      <c r="U36" t="s">
        <v>92</v>
      </c>
      <c r="V36" t="s">
        <v>92</v>
      </c>
      <c r="W36" t="s">
        <v>92</v>
      </c>
      <c r="X36" t="s">
        <v>92</v>
      </c>
      <c r="Y36" t="s">
        <v>92</v>
      </c>
      <c r="AH36" t="s">
        <v>97</v>
      </c>
      <c r="AI36">
        <v>2</v>
      </c>
      <c r="AJ36">
        <v>2</v>
      </c>
      <c r="AK36">
        <v>4</v>
      </c>
      <c r="AL36" t="s">
        <v>120</v>
      </c>
      <c r="AM36">
        <v>4</v>
      </c>
      <c r="AN36">
        <v>4</v>
      </c>
      <c r="AO36">
        <v>4</v>
      </c>
      <c r="AP36">
        <v>4</v>
      </c>
      <c r="AQ36">
        <v>2</v>
      </c>
      <c r="AR36">
        <v>2</v>
      </c>
      <c r="AS36">
        <v>4</v>
      </c>
      <c r="AT36">
        <v>4</v>
      </c>
      <c r="AU36">
        <v>4</v>
      </c>
      <c r="AV36">
        <v>4</v>
      </c>
      <c r="AW36">
        <v>4</v>
      </c>
      <c r="AX36">
        <v>4</v>
      </c>
      <c r="AY36">
        <v>4</v>
      </c>
      <c r="AZ36">
        <v>4</v>
      </c>
      <c r="BA36">
        <v>4</v>
      </c>
      <c r="BB36">
        <v>4</v>
      </c>
      <c r="BC36">
        <v>3</v>
      </c>
      <c r="BD36">
        <v>4</v>
      </c>
      <c r="BE36" t="s">
        <v>99</v>
      </c>
      <c r="BF36" t="s">
        <v>99</v>
      </c>
      <c r="BG36">
        <v>4</v>
      </c>
      <c r="BH36">
        <v>4</v>
      </c>
      <c r="BI36">
        <v>4</v>
      </c>
      <c r="BJ36">
        <v>4</v>
      </c>
      <c r="BK36">
        <v>4</v>
      </c>
      <c r="BL36">
        <v>4</v>
      </c>
      <c r="BM36" t="s">
        <v>111</v>
      </c>
      <c r="BO36">
        <v>170.44</v>
      </c>
      <c r="BP36">
        <v>67.02</v>
      </c>
      <c r="CC36">
        <v>103.42</v>
      </c>
    </row>
    <row r="37" spans="1:81" x14ac:dyDescent="0.35">
      <c r="A37">
        <v>380</v>
      </c>
      <c r="B37" t="s">
        <v>314</v>
      </c>
      <c r="C37">
        <v>2</v>
      </c>
      <c r="D37" t="s">
        <v>88</v>
      </c>
      <c r="E37">
        <v>360781903</v>
      </c>
      <c r="F37" t="s">
        <v>315</v>
      </c>
      <c r="G37" t="s">
        <v>314</v>
      </c>
      <c r="H37" t="s">
        <v>93</v>
      </c>
      <c r="I37" t="s">
        <v>92</v>
      </c>
      <c r="J37" t="s">
        <v>92</v>
      </c>
      <c r="K37" t="s">
        <v>92</v>
      </c>
      <c r="L37" t="s">
        <v>92</v>
      </c>
      <c r="M37" t="s">
        <v>92</v>
      </c>
      <c r="O37" t="s">
        <v>93</v>
      </c>
      <c r="Q37" t="s">
        <v>119</v>
      </c>
      <c r="R37" t="s">
        <v>92</v>
      </c>
      <c r="S37" t="s">
        <v>93</v>
      </c>
      <c r="T37" t="s">
        <v>93</v>
      </c>
      <c r="U37" t="s">
        <v>92</v>
      </c>
      <c r="V37" t="s">
        <v>92</v>
      </c>
      <c r="W37" t="s">
        <v>93</v>
      </c>
      <c r="X37" t="s">
        <v>92</v>
      </c>
      <c r="Y37" t="s">
        <v>92</v>
      </c>
      <c r="AD37">
        <v>3</v>
      </c>
      <c r="AE37">
        <v>3</v>
      </c>
      <c r="AF37">
        <v>3</v>
      </c>
      <c r="AH37" t="s">
        <v>97</v>
      </c>
      <c r="AI37">
        <v>3</v>
      </c>
      <c r="AJ37">
        <v>4</v>
      </c>
      <c r="AK37" t="s">
        <v>120</v>
      </c>
      <c r="AL37" t="s">
        <v>120</v>
      </c>
      <c r="AM37" t="s">
        <v>100</v>
      </c>
      <c r="AN37" t="s">
        <v>100</v>
      </c>
      <c r="AO37">
        <v>2</v>
      </c>
      <c r="AP37">
        <v>3</v>
      </c>
      <c r="AQ37">
        <v>3</v>
      </c>
      <c r="AR37">
        <v>4</v>
      </c>
      <c r="AS37">
        <v>4</v>
      </c>
      <c r="AT37" t="s">
        <v>100</v>
      </c>
      <c r="AU37" t="s">
        <v>100</v>
      </c>
      <c r="AV37">
        <v>3</v>
      </c>
      <c r="AW37">
        <v>4</v>
      </c>
      <c r="AX37" t="s">
        <v>100</v>
      </c>
      <c r="AY37">
        <v>4</v>
      </c>
      <c r="AZ37">
        <v>3</v>
      </c>
      <c r="BA37">
        <v>4</v>
      </c>
      <c r="BB37" t="s">
        <v>100</v>
      </c>
      <c r="BC37">
        <v>3</v>
      </c>
      <c r="BD37">
        <v>3</v>
      </c>
      <c r="BE37">
        <v>2</v>
      </c>
      <c r="BF37">
        <v>3</v>
      </c>
      <c r="BG37" t="s">
        <v>111</v>
      </c>
      <c r="BH37" t="s">
        <v>111</v>
      </c>
      <c r="BI37" t="s">
        <v>111</v>
      </c>
      <c r="BJ37" t="s">
        <v>111</v>
      </c>
      <c r="BK37" t="s">
        <v>111</v>
      </c>
      <c r="BL37" t="s">
        <v>111</v>
      </c>
      <c r="BM37" t="s">
        <v>111</v>
      </c>
      <c r="BO37">
        <v>199.05</v>
      </c>
      <c r="BP37">
        <v>80.69</v>
      </c>
      <c r="CC37">
        <v>118.36</v>
      </c>
    </row>
    <row r="39" spans="1:81" ht="13.9" x14ac:dyDescent="0.35">
      <c r="N39" s="1" t="s">
        <v>93</v>
      </c>
      <c r="O39">
        <f>COUNTIF(O2:O37,"Sí")</f>
        <v>20</v>
      </c>
      <c r="P39" s="2" t="s">
        <v>107</v>
      </c>
      <c r="Q39">
        <f>COUNTIF($Q$2:$Q$37,P39)</f>
        <v>2</v>
      </c>
      <c r="R39">
        <f>COUNTIF(R2:R37,"Sí")</f>
        <v>5</v>
      </c>
      <c r="U39">
        <f>COUNTIF(U2:U37,"Sí")</f>
        <v>5</v>
      </c>
      <c r="AG39" t="s">
        <v>97</v>
      </c>
      <c r="AH39">
        <f>COUNTIF($AH$2:$AH$37,AG39)</f>
        <v>17</v>
      </c>
    </row>
    <row r="40" spans="1:81" ht="13.9" x14ac:dyDescent="0.35">
      <c r="N40" s="1" t="s">
        <v>92</v>
      </c>
      <c r="O40">
        <f>COUNTIF(O2:O37,"No")</f>
        <v>16</v>
      </c>
      <c r="P40" s="2" t="s">
        <v>318</v>
      </c>
      <c r="Q40">
        <f t="shared" ref="Q40:Q42" si="0">COUNTIF($Q$2:$Q$37,P40)</f>
        <v>0</v>
      </c>
      <c r="R40">
        <f>COUNTIF(R2:R37,"No")</f>
        <v>2</v>
      </c>
      <c r="U40">
        <f>COUNTIF(U2:U37,"No")</f>
        <v>31</v>
      </c>
      <c r="AG40" t="s">
        <v>110</v>
      </c>
      <c r="AH40">
        <f t="shared" ref="AH40:AH41" si="1">COUNTIF($AH$2:$AH$37,AG40)</f>
        <v>13</v>
      </c>
    </row>
    <row r="41" spans="1:81" ht="13.9" x14ac:dyDescent="0.35">
      <c r="N41" s="1" t="s">
        <v>113</v>
      </c>
      <c r="P41" s="2" t="s">
        <v>95</v>
      </c>
      <c r="Q41">
        <f t="shared" si="0"/>
        <v>10</v>
      </c>
      <c r="R41">
        <f>COUNTIF(R2:R37,"Parcialmente")</f>
        <v>13</v>
      </c>
      <c r="AG41" t="s">
        <v>173</v>
      </c>
      <c r="AH41">
        <f t="shared" si="1"/>
        <v>6</v>
      </c>
    </row>
    <row r="42" spans="1:81" ht="13.9" x14ac:dyDescent="0.35">
      <c r="N42" s="1" t="s">
        <v>319</v>
      </c>
      <c r="P42" s="2" t="s">
        <v>119</v>
      </c>
      <c r="Q42">
        <f t="shared" si="0"/>
        <v>24</v>
      </c>
      <c r="R42">
        <f>COUNTBLANK(R2:R37)</f>
        <v>16</v>
      </c>
      <c r="AH42">
        <f>SUM(AH39:AH41)</f>
        <v>36</v>
      </c>
    </row>
    <row r="43" spans="1:81" ht="13.9" x14ac:dyDescent="0.35">
      <c r="N43" s="1" t="s">
        <v>320</v>
      </c>
      <c r="O43">
        <f>SUM(O39:O42)</f>
        <v>36</v>
      </c>
      <c r="Q43">
        <f>SUM(Q39:Q42)</f>
        <v>36</v>
      </c>
      <c r="R43">
        <f>SUM(R39:R42)</f>
        <v>36</v>
      </c>
      <c r="U43">
        <f>SUM(U39:U42)</f>
        <v>36</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Encuesta de ingreso a énfasis</vt:lpstr>
      <vt:lpstr>Encuesta de ingreso a énfas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Kryscia Ramírez Benavides</cp:lastModifiedBy>
  <cp:revision>0</cp:revision>
  <dcterms:created xsi:type="dcterms:W3CDTF">2023-07-06T16:23:21Z</dcterms:created>
  <dcterms:modified xsi:type="dcterms:W3CDTF">2026-04-14T00:33:14Z</dcterms:modified>
</cp:coreProperties>
</file>