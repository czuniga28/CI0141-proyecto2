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7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8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9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0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1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2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ysd\Dropbox\ComisionEvaluacionOrientacion\Enfasis\Encuestas\"/>
    </mc:Choice>
  </mc:AlternateContent>
  <xr:revisionPtr revIDLastSave="0" documentId="13_ncr:1_{5BE2AFF9-4131-4EA9-9C67-22AA1E3FD3EE}" xr6:coauthVersionLast="47" xr6:coauthVersionMax="47" xr10:uidLastSave="{00000000-0000-0000-0000-000000000000}"/>
  <bookViews>
    <workbookView xWindow="-98" yWindow="-98" windowWidth="23596" windowHeight="15076" xr2:uid="{278F3B31-BA23-492B-96A0-63C637888F68}"/>
  </bookViews>
  <sheets>
    <sheet name="Resumen" sheetId="7" r:id="rId1"/>
    <sheet name="I-2021" sheetId="1" r:id="rId2"/>
    <sheet name="II-2021" sheetId="2" r:id="rId3"/>
    <sheet name="I-2022" sheetId="3" r:id="rId4"/>
    <sheet name="II-2022" sheetId="4" r:id="rId5"/>
    <sheet name="III-2022" sheetId="5" r:id="rId6"/>
    <sheet name="I-2023" sheetId="6" r:id="rId7"/>
    <sheet name="II-2023" sheetId="8" r:id="rId8"/>
    <sheet name="I-2024" sheetId="9" r:id="rId9"/>
    <sheet name="II-2024" sheetId="10" r:id="rId10"/>
    <sheet name="I-2025" sheetId="11" r:id="rId11"/>
    <sheet name="II-2025" sheetId="12" r:id="rId12"/>
  </sheets>
  <externalReferences>
    <externalReference r:id="rId1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4" i="7" l="1"/>
  <c r="K24" i="7"/>
  <c r="J25" i="7"/>
  <c r="K25" i="7"/>
  <c r="J26" i="7"/>
  <c r="K26" i="7"/>
  <c r="K23" i="7"/>
  <c r="J23" i="7"/>
  <c r="H24" i="7"/>
  <c r="I24" i="7"/>
  <c r="H25" i="7"/>
  <c r="I25" i="7"/>
  <c r="H26" i="7"/>
  <c r="I26" i="7"/>
  <c r="I23" i="7"/>
  <c r="H23" i="7"/>
  <c r="F24" i="7"/>
  <c r="G24" i="7"/>
  <c r="F25" i="7"/>
  <c r="G25" i="7"/>
  <c r="G27" i="7" s="1"/>
  <c r="F26" i="7"/>
  <c r="G26" i="7"/>
  <c r="G23" i="7"/>
  <c r="F23" i="7"/>
  <c r="E23" i="7"/>
  <c r="D24" i="7"/>
  <c r="E24" i="7"/>
  <c r="D25" i="7"/>
  <c r="E25" i="7"/>
  <c r="D26" i="7"/>
  <c r="E26" i="7"/>
  <c r="D23" i="7"/>
  <c r="C24" i="7"/>
  <c r="C25" i="7"/>
  <c r="C26" i="7"/>
  <c r="C23" i="7"/>
  <c r="C27" i="7" s="1"/>
  <c r="B24" i="7"/>
  <c r="B25" i="7"/>
  <c r="B26" i="7"/>
  <c r="B23" i="7"/>
  <c r="H18" i="7"/>
  <c r="H17" i="7"/>
  <c r="F18" i="7"/>
  <c r="G18" i="7"/>
  <c r="G17" i="7"/>
  <c r="F17" i="7"/>
  <c r="E18" i="7"/>
  <c r="E17" i="7"/>
  <c r="C18" i="7"/>
  <c r="D18" i="7"/>
  <c r="D19" i="7" s="1"/>
  <c r="D17" i="7"/>
  <c r="C17" i="7"/>
  <c r="F19" i="7"/>
  <c r="H19" i="7"/>
  <c r="B18" i="7"/>
  <c r="B17" i="7"/>
  <c r="K18" i="7"/>
  <c r="K17" i="7"/>
  <c r="J18" i="7"/>
  <c r="J19" i="7" s="1"/>
  <c r="J17" i="7"/>
  <c r="I18" i="7"/>
  <c r="I17" i="7"/>
  <c r="I19" i="7" s="1"/>
  <c r="I10" i="7"/>
  <c r="J10" i="7"/>
  <c r="K10" i="7"/>
  <c r="I11" i="7"/>
  <c r="J11" i="7"/>
  <c r="K11" i="7"/>
  <c r="I12" i="7"/>
  <c r="J12" i="7"/>
  <c r="K12" i="7"/>
  <c r="K9" i="7"/>
  <c r="J9" i="7"/>
  <c r="I9" i="7"/>
  <c r="I13" i="7" s="1"/>
  <c r="K13" i="7"/>
  <c r="G10" i="7"/>
  <c r="H10" i="7"/>
  <c r="H13" i="7" s="1"/>
  <c r="G11" i="7"/>
  <c r="G13" i="7" s="1"/>
  <c r="H11" i="7"/>
  <c r="G12" i="7"/>
  <c r="H12" i="7"/>
  <c r="H9" i="7"/>
  <c r="G9" i="7"/>
  <c r="F10" i="7"/>
  <c r="F11" i="7"/>
  <c r="F12" i="7"/>
  <c r="F9" i="7"/>
  <c r="E10" i="7"/>
  <c r="E11" i="7"/>
  <c r="E12" i="7"/>
  <c r="E9" i="7"/>
  <c r="D10" i="7"/>
  <c r="D11" i="7"/>
  <c r="D12" i="7"/>
  <c r="D9" i="7"/>
  <c r="C10" i="7"/>
  <c r="C11" i="7"/>
  <c r="C12" i="7"/>
  <c r="C9" i="7"/>
  <c r="B10" i="7"/>
  <c r="B11" i="7"/>
  <c r="B12" i="7"/>
  <c r="B9" i="7"/>
  <c r="I32" i="7"/>
  <c r="J32" i="7"/>
  <c r="K32" i="7"/>
  <c r="I33" i="7"/>
  <c r="J33" i="7"/>
  <c r="K33" i="7"/>
  <c r="K31" i="7"/>
  <c r="J31" i="7"/>
  <c r="J34" i="7" s="1"/>
  <c r="I31" i="7"/>
  <c r="I34" i="7" s="1"/>
  <c r="H32" i="7"/>
  <c r="H33" i="7"/>
  <c r="H31" i="7"/>
  <c r="G32" i="7"/>
  <c r="G33" i="7"/>
  <c r="G31" i="7"/>
  <c r="F32" i="7"/>
  <c r="F33" i="7"/>
  <c r="F31" i="7"/>
  <c r="F34" i="7" s="1"/>
  <c r="E32" i="7"/>
  <c r="E33" i="7"/>
  <c r="E34" i="7" s="1"/>
  <c r="E31" i="7"/>
  <c r="D32" i="7"/>
  <c r="D33" i="7"/>
  <c r="D31" i="7"/>
  <c r="C32" i="7"/>
  <c r="C33" i="7"/>
  <c r="C31" i="7"/>
  <c r="B32" i="7"/>
  <c r="B33" i="7"/>
  <c r="B31" i="7"/>
  <c r="B34" i="7" s="1"/>
  <c r="K34" i="7"/>
  <c r="K19" i="7"/>
  <c r="J13" i="7"/>
  <c r="L4" i="7"/>
  <c r="L3" i="7"/>
  <c r="K4" i="7"/>
  <c r="K3" i="7"/>
  <c r="K5" i="7" s="1"/>
  <c r="I4" i="7"/>
  <c r="I3" i="7"/>
  <c r="H4" i="7"/>
  <c r="H3" i="7"/>
  <c r="G4" i="7"/>
  <c r="G3" i="7"/>
  <c r="F4" i="7"/>
  <c r="F3" i="7"/>
  <c r="E4" i="7"/>
  <c r="E3" i="7"/>
  <c r="D4" i="7"/>
  <c r="D3" i="7"/>
  <c r="C4" i="7"/>
  <c r="C3" i="7"/>
  <c r="B4" i="7"/>
  <c r="B3" i="7"/>
  <c r="J5" i="7"/>
  <c r="J4" i="7"/>
  <c r="J3" i="7"/>
  <c r="C35" i="12"/>
  <c r="B35" i="12"/>
  <c r="L34" i="12"/>
  <c r="I34" i="12"/>
  <c r="B6" i="12"/>
  <c r="C35" i="11"/>
  <c r="B35" i="11"/>
  <c r="L34" i="11"/>
  <c r="I34" i="11"/>
  <c r="B6" i="11"/>
  <c r="C35" i="10"/>
  <c r="B35" i="10"/>
  <c r="L34" i="10"/>
  <c r="I34" i="10"/>
  <c r="B6" i="10"/>
  <c r="H27" i="7"/>
  <c r="G34" i="7"/>
  <c r="H34" i="7"/>
  <c r="G19" i="7"/>
  <c r="H5" i="7"/>
  <c r="I5" i="7"/>
  <c r="C35" i="9"/>
  <c r="B35" i="9"/>
  <c r="L34" i="9"/>
  <c r="I34" i="9"/>
  <c r="B6" i="9"/>
  <c r="C35" i="8"/>
  <c r="B35" i="8"/>
  <c r="L34" i="8"/>
  <c r="I34" i="8"/>
  <c r="B6" i="8"/>
  <c r="C34" i="7"/>
  <c r="D34" i="7"/>
  <c r="D27" i="7"/>
  <c r="E27" i="7"/>
  <c r="B27" i="7"/>
  <c r="C19" i="7"/>
  <c r="E19" i="7"/>
  <c r="B19" i="7"/>
  <c r="J27" i="7" l="1"/>
  <c r="K27" i="7"/>
  <c r="I27" i="7"/>
  <c r="F27" i="7"/>
  <c r="L5" i="7"/>
  <c r="C13" i="7"/>
  <c r="D13" i="7"/>
  <c r="E13" i="7"/>
  <c r="F13" i="7"/>
  <c r="B13" i="7"/>
  <c r="G5" i="7"/>
  <c r="F5" i="7"/>
  <c r="E5" i="7"/>
  <c r="D5" i="7"/>
  <c r="C5" i="7"/>
  <c r="B5" i="7"/>
  <c r="C35" i="6" l="1"/>
  <c r="B35" i="6"/>
  <c r="L34" i="6"/>
  <c r="I34" i="6"/>
  <c r="B6" i="6"/>
  <c r="C35" i="5"/>
  <c r="B35" i="5"/>
  <c r="L34" i="5"/>
  <c r="I34" i="5"/>
  <c r="B6" i="5"/>
  <c r="C35" i="4"/>
  <c r="B35" i="4"/>
  <c r="L34" i="4"/>
  <c r="I34" i="4"/>
  <c r="B6" i="4"/>
  <c r="C35" i="3" l="1"/>
  <c r="B35" i="3"/>
  <c r="L34" i="3"/>
  <c r="I34" i="3"/>
  <c r="B6" i="3"/>
  <c r="L34" i="2"/>
  <c r="I34" i="2"/>
  <c r="C35" i="2" l="1"/>
  <c r="B35" i="2"/>
  <c r="C35" i="1"/>
  <c r="D35" i="1"/>
  <c r="B35" i="1"/>
  <c r="B6" i="1"/>
  <c r="B6" i="2"/>
</calcChain>
</file>

<file path=xl/sharedStrings.xml><?xml version="1.0" encoding="utf-8"?>
<sst xmlns="http://schemas.openxmlformats.org/spreadsheetml/2006/main" count="321" uniqueCount="35">
  <si>
    <t>Asistencia</t>
  </si>
  <si>
    <t>Sí</t>
  </si>
  <si>
    <t>No</t>
  </si>
  <si>
    <t>N/A</t>
  </si>
  <si>
    <t>Blanco</t>
  </si>
  <si>
    <t>TOTAL</t>
  </si>
  <si>
    <t>¿Tenía usted una decisión tomada sobre el énfasis a elegir antes de asistir a las actividades de los énfasis?</t>
  </si>
  <si>
    <t>¿Cambió su decisión después de asistir a las actividades informativas?</t>
  </si>
  <si>
    <t>En resumen, ¿considera que las actividades le ayudaron a tomar una decisión más informada sobre el énfasis a elegir?</t>
  </si>
  <si>
    <t>No estaba 100% decidido(a)</t>
  </si>
  <si>
    <t>Parcialmente</t>
  </si>
  <si>
    <t>I semestre del 1er año</t>
  </si>
  <si>
    <t>II semestre del 1er año</t>
  </si>
  <si>
    <t>I semestre del 2do año</t>
  </si>
  <si>
    <t>II semestre del 2do año</t>
  </si>
  <si>
    <t>¿En cuál semestre de la carrera tomó la decisión sobre el énfasis?</t>
  </si>
  <si>
    <t>CC</t>
  </si>
  <si>
    <t>IS</t>
  </si>
  <si>
    <t>ITI</t>
  </si>
  <si>
    <t>Énfasis que va a esciger</t>
  </si>
  <si>
    <t>¿Considera que las actividades realizadas por los énfasis influyeron en su elección?</t>
  </si>
  <si>
    <t>¿Cuáles factores influyeron en su decisión de elección de énfasis? Actividades organizadas por la ECCI</t>
  </si>
  <si>
    <t>I-2021</t>
  </si>
  <si>
    <t>II-2021</t>
  </si>
  <si>
    <t>I-2022</t>
  </si>
  <si>
    <t>II-2022</t>
  </si>
  <si>
    <t>III-2022</t>
  </si>
  <si>
    <t>I-2023</t>
  </si>
  <si>
    <t>Asistencia a las Actividades</t>
  </si>
  <si>
    <t>II-2023</t>
  </si>
  <si>
    <t>I-2024</t>
  </si>
  <si>
    <t>I-2025</t>
  </si>
  <si>
    <t>II-2024</t>
  </si>
  <si>
    <t>II-2025</t>
  </si>
  <si>
    <t>Énfasis que va a escoger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</si>
</sst>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5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2" fillId="0" borderId="0" xfId="0" applyFont="1"/>
    <xf numFmtId="0" fontId="3" fillId="0" borderId="0" xfId="0" applyFont="1" applyAlignment="1">
      <alignment wrapText="1"/>
    </xf>
    <xf numFmtId="0" fontId="1" fillId="0" borderId="1" xfId="0" applyFont="1" applyBorder="1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0" xfId="0" applyFont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D22FC0B5-9AA4-4370-AF73-CEC222A9F3F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s-CR"/>
              <a:t>Asistencia a las Actividades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C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Resumen!$A$3</c:f>
              <c:strCache>
                <c:ptCount val="1"/>
                <c:pt idx="0">
                  <c:v>Sí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C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Resumen!$B$2:$L$2</c:f>
              <c:strCache>
                <c:ptCount val="11"/>
                <c:pt idx="0">
                  <c:v>I-2021</c:v>
                </c:pt>
                <c:pt idx="1">
                  <c:v>II-2021</c:v>
                </c:pt>
                <c:pt idx="2">
                  <c:v>I-2022</c:v>
                </c:pt>
                <c:pt idx="3">
                  <c:v>II-2022</c:v>
                </c:pt>
                <c:pt idx="4">
                  <c:v>III-2022</c:v>
                </c:pt>
                <c:pt idx="5">
                  <c:v>I-2023</c:v>
                </c:pt>
                <c:pt idx="6">
                  <c:v>II-2023</c:v>
                </c:pt>
                <c:pt idx="7">
                  <c:v>I-2024</c:v>
                </c:pt>
                <c:pt idx="8">
                  <c:v>II-2024</c:v>
                </c:pt>
                <c:pt idx="9">
                  <c:v>I-2025</c:v>
                </c:pt>
                <c:pt idx="10">
                  <c:v>II-2025</c:v>
                </c:pt>
              </c:strCache>
            </c:strRef>
          </c:cat>
          <c:val>
            <c:numRef>
              <c:f>Resumen!$B$3:$L$3</c:f>
              <c:numCache>
                <c:formatCode>General</c:formatCode>
                <c:ptCount val="11"/>
                <c:pt idx="0">
                  <c:v>64</c:v>
                </c:pt>
                <c:pt idx="1">
                  <c:v>45</c:v>
                </c:pt>
                <c:pt idx="2">
                  <c:v>35</c:v>
                </c:pt>
                <c:pt idx="3">
                  <c:v>25</c:v>
                </c:pt>
                <c:pt idx="4">
                  <c:v>5</c:v>
                </c:pt>
                <c:pt idx="5">
                  <c:v>20</c:v>
                </c:pt>
                <c:pt idx="6">
                  <c:v>34</c:v>
                </c:pt>
                <c:pt idx="7">
                  <c:v>50</c:v>
                </c:pt>
                <c:pt idx="8">
                  <c:v>31</c:v>
                </c:pt>
                <c:pt idx="9">
                  <c:v>36</c:v>
                </c:pt>
                <c:pt idx="10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39-4727-B7C7-DC5F94B33147}"/>
            </c:ext>
          </c:extLst>
        </c:ser>
        <c:ser>
          <c:idx val="1"/>
          <c:order val="1"/>
          <c:tx>
            <c:strRef>
              <c:f>Resumen!$A$4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C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Resumen!$B$2:$L$2</c:f>
              <c:strCache>
                <c:ptCount val="11"/>
                <c:pt idx="0">
                  <c:v>I-2021</c:v>
                </c:pt>
                <c:pt idx="1">
                  <c:v>II-2021</c:v>
                </c:pt>
                <c:pt idx="2">
                  <c:v>I-2022</c:v>
                </c:pt>
                <c:pt idx="3">
                  <c:v>II-2022</c:v>
                </c:pt>
                <c:pt idx="4">
                  <c:v>III-2022</c:v>
                </c:pt>
                <c:pt idx="5">
                  <c:v>I-2023</c:v>
                </c:pt>
                <c:pt idx="6">
                  <c:v>II-2023</c:v>
                </c:pt>
                <c:pt idx="7">
                  <c:v>I-2024</c:v>
                </c:pt>
                <c:pt idx="8">
                  <c:v>II-2024</c:v>
                </c:pt>
                <c:pt idx="9">
                  <c:v>I-2025</c:v>
                </c:pt>
                <c:pt idx="10">
                  <c:v>II-2025</c:v>
                </c:pt>
              </c:strCache>
            </c:strRef>
          </c:cat>
          <c:val>
            <c:numRef>
              <c:f>Resumen!$B$4:$L$4</c:f>
              <c:numCache>
                <c:formatCode>General</c:formatCode>
                <c:ptCount val="11"/>
                <c:pt idx="0">
                  <c:v>33</c:v>
                </c:pt>
                <c:pt idx="1">
                  <c:v>17</c:v>
                </c:pt>
                <c:pt idx="2">
                  <c:v>10</c:v>
                </c:pt>
                <c:pt idx="3">
                  <c:v>20</c:v>
                </c:pt>
                <c:pt idx="4">
                  <c:v>5</c:v>
                </c:pt>
                <c:pt idx="5">
                  <c:v>16</c:v>
                </c:pt>
                <c:pt idx="6">
                  <c:v>15</c:v>
                </c:pt>
                <c:pt idx="7">
                  <c:v>22</c:v>
                </c:pt>
                <c:pt idx="8">
                  <c:v>11</c:v>
                </c:pt>
                <c:pt idx="9">
                  <c:v>19</c:v>
                </c:pt>
                <c:pt idx="10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639-4727-B7C7-DC5F94B3314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89154480"/>
        <c:axId val="1288943776"/>
      </c:barChart>
      <c:catAx>
        <c:axId val="1289154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CR"/>
          </a:p>
        </c:txPr>
        <c:crossAx val="1288943776"/>
        <c:crosses val="autoZero"/>
        <c:auto val="1"/>
        <c:lblAlgn val="ctr"/>
        <c:lblOffset val="100"/>
        <c:noMultiLvlLbl val="0"/>
      </c:catAx>
      <c:valAx>
        <c:axId val="128894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CR"/>
                  <a:t>Cantidad</a:t>
                </a:r>
                <a:r>
                  <a:rPr lang="es-CR" baseline="0"/>
                  <a:t> de Estudiantes</a:t>
                </a:r>
                <a:endParaRPr lang="es-C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C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CR"/>
          </a:p>
        </c:txPr>
        <c:crossAx val="1289154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C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latin typeface="Arial" panose="020B0604020202020204" pitchFamily="34" charset="0"/>
          <a:cs typeface="Arial" panose="020B0604020202020204" pitchFamily="34" charset="0"/>
        </a:defRPr>
      </a:pPr>
      <a:endParaRPr lang="es-C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s-CR"/>
              <a:t>¿Considera que las actividades realizadas por los énfasis influyeron en su elección?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C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Resumen!$A$9</c:f>
              <c:strCache>
                <c:ptCount val="1"/>
                <c:pt idx="0">
                  <c:v>Sí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C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Resumen!$B$8:$K$8</c:f>
              <c:strCache>
                <c:ptCount val="10"/>
                <c:pt idx="0">
                  <c:v>II-2021</c:v>
                </c:pt>
                <c:pt idx="1">
                  <c:v>I-2022</c:v>
                </c:pt>
                <c:pt idx="2">
                  <c:v>II-2022</c:v>
                </c:pt>
                <c:pt idx="3">
                  <c:v>III-2022</c:v>
                </c:pt>
                <c:pt idx="4">
                  <c:v>I-2023</c:v>
                </c:pt>
                <c:pt idx="5">
                  <c:v>II-2023</c:v>
                </c:pt>
                <c:pt idx="6">
                  <c:v>I-2024</c:v>
                </c:pt>
                <c:pt idx="7">
                  <c:v>II-2024</c:v>
                </c:pt>
                <c:pt idx="8">
                  <c:v>I-2025</c:v>
                </c:pt>
                <c:pt idx="9">
                  <c:v>II-2025</c:v>
                </c:pt>
              </c:strCache>
            </c:strRef>
          </c:cat>
          <c:val>
            <c:numRef>
              <c:f>Resumen!$B$9:$K$9</c:f>
              <c:numCache>
                <c:formatCode>General</c:formatCode>
                <c:ptCount val="10"/>
                <c:pt idx="0">
                  <c:v>18</c:v>
                </c:pt>
                <c:pt idx="1">
                  <c:v>8</c:v>
                </c:pt>
                <c:pt idx="2">
                  <c:v>1</c:v>
                </c:pt>
                <c:pt idx="3">
                  <c:v>1</c:v>
                </c:pt>
                <c:pt idx="4">
                  <c:v>5</c:v>
                </c:pt>
                <c:pt idx="5">
                  <c:v>6</c:v>
                </c:pt>
                <c:pt idx="6">
                  <c:v>14</c:v>
                </c:pt>
                <c:pt idx="7">
                  <c:v>13</c:v>
                </c:pt>
                <c:pt idx="8">
                  <c:v>15</c:v>
                </c:pt>
                <c:pt idx="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E2-401D-A8E2-550346D22510}"/>
            </c:ext>
          </c:extLst>
        </c:ser>
        <c:ser>
          <c:idx val="1"/>
          <c:order val="1"/>
          <c:tx>
            <c:strRef>
              <c:f>Resumen!$A$10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C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Resumen!$B$8:$K$8</c:f>
              <c:strCache>
                <c:ptCount val="10"/>
                <c:pt idx="0">
                  <c:v>II-2021</c:v>
                </c:pt>
                <c:pt idx="1">
                  <c:v>I-2022</c:v>
                </c:pt>
                <c:pt idx="2">
                  <c:v>II-2022</c:v>
                </c:pt>
                <c:pt idx="3">
                  <c:v>III-2022</c:v>
                </c:pt>
                <c:pt idx="4">
                  <c:v>I-2023</c:v>
                </c:pt>
                <c:pt idx="5">
                  <c:v>II-2023</c:v>
                </c:pt>
                <c:pt idx="6">
                  <c:v>I-2024</c:v>
                </c:pt>
                <c:pt idx="7">
                  <c:v>II-2024</c:v>
                </c:pt>
                <c:pt idx="8">
                  <c:v>I-2025</c:v>
                </c:pt>
                <c:pt idx="9">
                  <c:v>II-2025</c:v>
                </c:pt>
              </c:strCache>
            </c:strRef>
          </c:cat>
          <c:val>
            <c:numRef>
              <c:f>Resumen!$B$10:$K$10</c:f>
              <c:numCache>
                <c:formatCode>General</c:formatCode>
                <c:ptCount val="10"/>
                <c:pt idx="0">
                  <c:v>9</c:v>
                </c:pt>
                <c:pt idx="1">
                  <c:v>6</c:v>
                </c:pt>
                <c:pt idx="2">
                  <c:v>6</c:v>
                </c:pt>
                <c:pt idx="3">
                  <c:v>0</c:v>
                </c:pt>
                <c:pt idx="4">
                  <c:v>2</c:v>
                </c:pt>
                <c:pt idx="5">
                  <c:v>9</c:v>
                </c:pt>
                <c:pt idx="6">
                  <c:v>9</c:v>
                </c:pt>
                <c:pt idx="7">
                  <c:v>1</c:v>
                </c:pt>
                <c:pt idx="8">
                  <c:v>4</c:v>
                </c:pt>
                <c:pt idx="9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E2-401D-A8E2-550346D22510}"/>
            </c:ext>
          </c:extLst>
        </c:ser>
        <c:ser>
          <c:idx val="2"/>
          <c:order val="2"/>
          <c:tx>
            <c:strRef>
              <c:f>Resumen!$A$11</c:f>
              <c:strCache>
                <c:ptCount val="1"/>
                <c:pt idx="0">
                  <c:v>Parcialmente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C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Resumen!$B$8:$K$8</c:f>
              <c:strCache>
                <c:ptCount val="10"/>
                <c:pt idx="0">
                  <c:v>II-2021</c:v>
                </c:pt>
                <c:pt idx="1">
                  <c:v>I-2022</c:v>
                </c:pt>
                <c:pt idx="2">
                  <c:v>II-2022</c:v>
                </c:pt>
                <c:pt idx="3">
                  <c:v>III-2022</c:v>
                </c:pt>
                <c:pt idx="4">
                  <c:v>I-2023</c:v>
                </c:pt>
                <c:pt idx="5">
                  <c:v>II-2023</c:v>
                </c:pt>
                <c:pt idx="6">
                  <c:v>I-2024</c:v>
                </c:pt>
                <c:pt idx="7">
                  <c:v>II-2024</c:v>
                </c:pt>
                <c:pt idx="8">
                  <c:v>I-2025</c:v>
                </c:pt>
                <c:pt idx="9">
                  <c:v>II-2025</c:v>
                </c:pt>
              </c:strCache>
            </c:strRef>
          </c:cat>
          <c:val>
            <c:numRef>
              <c:f>Resumen!$B$11:$K$11</c:f>
              <c:numCache>
                <c:formatCode>General</c:formatCode>
                <c:ptCount val="10"/>
                <c:pt idx="0">
                  <c:v>18</c:v>
                </c:pt>
                <c:pt idx="1">
                  <c:v>21</c:v>
                </c:pt>
                <c:pt idx="2">
                  <c:v>18</c:v>
                </c:pt>
                <c:pt idx="3">
                  <c:v>4</c:v>
                </c:pt>
                <c:pt idx="4">
                  <c:v>13</c:v>
                </c:pt>
                <c:pt idx="5">
                  <c:v>19</c:v>
                </c:pt>
                <c:pt idx="6">
                  <c:v>27</c:v>
                </c:pt>
                <c:pt idx="7">
                  <c:v>17</c:v>
                </c:pt>
                <c:pt idx="8">
                  <c:v>17</c:v>
                </c:pt>
                <c:pt idx="9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4E2-401D-A8E2-550346D22510}"/>
            </c:ext>
          </c:extLst>
        </c:ser>
        <c:ser>
          <c:idx val="3"/>
          <c:order val="3"/>
          <c:tx>
            <c:strRef>
              <c:f>Resumen!$A$12</c:f>
              <c:strCache>
                <c:ptCount val="1"/>
                <c:pt idx="0">
                  <c:v>Blanco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C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Resumen!$B$8:$K$8</c:f>
              <c:strCache>
                <c:ptCount val="10"/>
                <c:pt idx="0">
                  <c:v>II-2021</c:v>
                </c:pt>
                <c:pt idx="1">
                  <c:v>I-2022</c:v>
                </c:pt>
                <c:pt idx="2">
                  <c:v>II-2022</c:v>
                </c:pt>
                <c:pt idx="3">
                  <c:v>III-2022</c:v>
                </c:pt>
                <c:pt idx="4">
                  <c:v>I-2023</c:v>
                </c:pt>
                <c:pt idx="5">
                  <c:v>II-2023</c:v>
                </c:pt>
                <c:pt idx="6">
                  <c:v>I-2024</c:v>
                </c:pt>
                <c:pt idx="7">
                  <c:v>II-2024</c:v>
                </c:pt>
                <c:pt idx="8">
                  <c:v>I-2025</c:v>
                </c:pt>
                <c:pt idx="9">
                  <c:v>II-2025</c:v>
                </c:pt>
              </c:strCache>
            </c:strRef>
          </c:cat>
          <c:val>
            <c:numRef>
              <c:f>Resumen!$B$12:$K$12</c:f>
              <c:numCache>
                <c:formatCode>General</c:formatCode>
                <c:ptCount val="10"/>
                <c:pt idx="0">
                  <c:v>17</c:v>
                </c:pt>
                <c:pt idx="1">
                  <c:v>10</c:v>
                </c:pt>
                <c:pt idx="2">
                  <c:v>20</c:v>
                </c:pt>
                <c:pt idx="3">
                  <c:v>5</c:v>
                </c:pt>
                <c:pt idx="4">
                  <c:v>16</c:v>
                </c:pt>
                <c:pt idx="5">
                  <c:v>15</c:v>
                </c:pt>
                <c:pt idx="6">
                  <c:v>22</c:v>
                </c:pt>
                <c:pt idx="7">
                  <c:v>11</c:v>
                </c:pt>
                <c:pt idx="8">
                  <c:v>19</c:v>
                </c:pt>
                <c:pt idx="9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4E2-401D-A8E2-550346D2251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89154480"/>
        <c:axId val="1288943776"/>
      </c:barChart>
      <c:catAx>
        <c:axId val="1289154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CR"/>
          </a:p>
        </c:txPr>
        <c:crossAx val="1288943776"/>
        <c:crosses val="autoZero"/>
        <c:auto val="1"/>
        <c:lblAlgn val="ctr"/>
        <c:lblOffset val="100"/>
        <c:noMultiLvlLbl val="0"/>
      </c:catAx>
      <c:valAx>
        <c:axId val="128894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CR"/>
                  <a:t>Cantidad</a:t>
                </a:r>
                <a:r>
                  <a:rPr lang="es-CR" baseline="0"/>
                  <a:t> de Estudiantes</a:t>
                </a:r>
                <a:endParaRPr lang="es-C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C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CR"/>
          </a:p>
        </c:txPr>
        <c:crossAx val="1289154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C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latin typeface="Arial" panose="020B0604020202020204" pitchFamily="34" charset="0"/>
          <a:cs typeface="Arial" panose="020B0604020202020204" pitchFamily="34" charset="0"/>
        </a:defRPr>
      </a:pPr>
      <a:endParaRPr lang="es-C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s-CR"/>
              <a:t>¿Cuáles factores influyeron en su decisión de elección de énfasis? Actividades organizadas por la ECCI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C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Resumen!$A$17</c:f>
              <c:strCache>
                <c:ptCount val="1"/>
                <c:pt idx="0">
                  <c:v>Sí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C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Resumen!$B$16:$K$16</c:f>
              <c:strCache>
                <c:ptCount val="10"/>
                <c:pt idx="0">
                  <c:v>II-2021</c:v>
                </c:pt>
                <c:pt idx="1">
                  <c:v>I-2022</c:v>
                </c:pt>
                <c:pt idx="2">
                  <c:v>II-2022</c:v>
                </c:pt>
                <c:pt idx="3">
                  <c:v>III-2022</c:v>
                </c:pt>
                <c:pt idx="4">
                  <c:v>I-2023</c:v>
                </c:pt>
                <c:pt idx="5">
                  <c:v>II-2023</c:v>
                </c:pt>
                <c:pt idx="6">
                  <c:v>I-2024</c:v>
                </c:pt>
                <c:pt idx="7">
                  <c:v>II-2024</c:v>
                </c:pt>
                <c:pt idx="8">
                  <c:v>I-2025</c:v>
                </c:pt>
                <c:pt idx="9">
                  <c:v>II-2025</c:v>
                </c:pt>
              </c:strCache>
            </c:strRef>
          </c:cat>
          <c:val>
            <c:numRef>
              <c:f>Resumen!$B$17:$K$17</c:f>
              <c:numCache>
                <c:formatCode>General</c:formatCode>
                <c:ptCount val="10"/>
                <c:pt idx="0">
                  <c:v>21</c:v>
                </c:pt>
                <c:pt idx="1">
                  <c:v>9</c:v>
                </c:pt>
                <c:pt idx="2">
                  <c:v>6</c:v>
                </c:pt>
                <c:pt idx="3">
                  <c:v>2</c:v>
                </c:pt>
                <c:pt idx="4">
                  <c:v>5</c:v>
                </c:pt>
                <c:pt idx="5">
                  <c:v>7</c:v>
                </c:pt>
                <c:pt idx="6">
                  <c:v>17</c:v>
                </c:pt>
                <c:pt idx="7">
                  <c:v>13</c:v>
                </c:pt>
                <c:pt idx="8">
                  <c:v>14</c:v>
                </c:pt>
                <c:pt idx="9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94-47B0-99A1-6FFFF48A83E5}"/>
            </c:ext>
          </c:extLst>
        </c:ser>
        <c:ser>
          <c:idx val="1"/>
          <c:order val="1"/>
          <c:tx>
            <c:strRef>
              <c:f>Resumen!$A$18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C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Resumen!$B$16:$K$16</c:f>
              <c:strCache>
                <c:ptCount val="10"/>
                <c:pt idx="0">
                  <c:v>II-2021</c:v>
                </c:pt>
                <c:pt idx="1">
                  <c:v>I-2022</c:v>
                </c:pt>
                <c:pt idx="2">
                  <c:v>II-2022</c:v>
                </c:pt>
                <c:pt idx="3">
                  <c:v>III-2022</c:v>
                </c:pt>
                <c:pt idx="4">
                  <c:v>I-2023</c:v>
                </c:pt>
                <c:pt idx="5">
                  <c:v>II-2023</c:v>
                </c:pt>
                <c:pt idx="6">
                  <c:v>I-2024</c:v>
                </c:pt>
                <c:pt idx="7">
                  <c:v>II-2024</c:v>
                </c:pt>
                <c:pt idx="8">
                  <c:v>I-2025</c:v>
                </c:pt>
                <c:pt idx="9">
                  <c:v>II-2025</c:v>
                </c:pt>
              </c:strCache>
            </c:strRef>
          </c:cat>
          <c:val>
            <c:numRef>
              <c:f>Resumen!$B$18:$K$18</c:f>
              <c:numCache>
                <c:formatCode>General</c:formatCode>
                <c:ptCount val="10"/>
                <c:pt idx="0">
                  <c:v>41</c:v>
                </c:pt>
                <c:pt idx="1">
                  <c:v>36</c:v>
                </c:pt>
                <c:pt idx="2">
                  <c:v>39</c:v>
                </c:pt>
                <c:pt idx="3">
                  <c:v>8</c:v>
                </c:pt>
                <c:pt idx="4">
                  <c:v>31</c:v>
                </c:pt>
                <c:pt idx="5">
                  <c:v>42</c:v>
                </c:pt>
                <c:pt idx="6">
                  <c:v>55</c:v>
                </c:pt>
                <c:pt idx="7">
                  <c:v>29</c:v>
                </c:pt>
                <c:pt idx="8">
                  <c:v>41</c:v>
                </c:pt>
                <c:pt idx="9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E94-47B0-99A1-6FFFF48A83E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89154480"/>
        <c:axId val="1288943776"/>
      </c:barChart>
      <c:catAx>
        <c:axId val="1289154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CR"/>
          </a:p>
        </c:txPr>
        <c:crossAx val="1288943776"/>
        <c:crosses val="autoZero"/>
        <c:auto val="1"/>
        <c:lblAlgn val="ctr"/>
        <c:lblOffset val="100"/>
        <c:noMultiLvlLbl val="0"/>
      </c:catAx>
      <c:valAx>
        <c:axId val="128894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CR"/>
                  <a:t>Cantidad</a:t>
                </a:r>
                <a:r>
                  <a:rPr lang="es-CR" baseline="0"/>
                  <a:t> de Estudiantes</a:t>
                </a:r>
                <a:endParaRPr lang="es-C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C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CR"/>
          </a:p>
        </c:txPr>
        <c:crossAx val="1289154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C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latin typeface="Arial" panose="020B0604020202020204" pitchFamily="34" charset="0"/>
          <a:cs typeface="Arial" panose="020B0604020202020204" pitchFamily="34" charset="0"/>
        </a:defRPr>
      </a:pPr>
      <a:endParaRPr lang="es-C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s-CR"/>
              <a:t>¿En cuál semestre de la carrera tomó la decisión sobre el énfasis?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C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Resumen!$A$23</c:f>
              <c:strCache>
                <c:ptCount val="1"/>
                <c:pt idx="0">
                  <c:v>I semestre del 1er año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C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Resumen!$B$22:$K$22</c:f>
              <c:strCache>
                <c:ptCount val="10"/>
                <c:pt idx="0">
                  <c:v>II-2021</c:v>
                </c:pt>
                <c:pt idx="1">
                  <c:v>I-2022</c:v>
                </c:pt>
                <c:pt idx="2">
                  <c:v>II-2022</c:v>
                </c:pt>
                <c:pt idx="3">
                  <c:v>III-2022</c:v>
                </c:pt>
                <c:pt idx="4">
                  <c:v>I-2023</c:v>
                </c:pt>
                <c:pt idx="5">
                  <c:v>II-2023</c:v>
                </c:pt>
                <c:pt idx="6">
                  <c:v>I-2024</c:v>
                </c:pt>
                <c:pt idx="7">
                  <c:v>II-2024</c:v>
                </c:pt>
                <c:pt idx="8">
                  <c:v>I-2025</c:v>
                </c:pt>
                <c:pt idx="9">
                  <c:v>II-2025</c:v>
                </c:pt>
              </c:strCache>
            </c:strRef>
          </c:cat>
          <c:val>
            <c:numRef>
              <c:f>Resumen!$B$23:$K$23</c:f>
              <c:numCache>
                <c:formatCode>General</c:formatCode>
                <c:ptCount val="10"/>
                <c:pt idx="0">
                  <c:v>9</c:v>
                </c:pt>
                <c:pt idx="1">
                  <c:v>4</c:v>
                </c:pt>
                <c:pt idx="2">
                  <c:v>7</c:v>
                </c:pt>
                <c:pt idx="3">
                  <c:v>2</c:v>
                </c:pt>
                <c:pt idx="4">
                  <c:v>2</c:v>
                </c:pt>
                <c:pt idx="5">
                  <c:v>9</c:v>
                </c:pt>
                <c:pt idx="6">
                  <c:v>7</c:v>
                </c:pt>
                <c:pt idx="7">
                  <c:v>6</c:v>
                </c:pt>
                <c:pt idx="8">
                  <c:v>10</c:v>
                </c:pt>
                <c:pt idx="9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87-4E0F-97EA-E31568913650}"/>
            </c:ext>
          </c:extLst>
        </c:ser>
        <c:ser>
          <c:idx val="1"/>
          <c:order val="1"/>
          <c:tx>
            <c:strRef>
              <c:f>Resumen!$A$24</c:f>
              <c:strCache>
                <c:ptCount val="1"/>
                <c:pt idx="0">
                  <c:v>II semestre del 1er año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C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Resumen!$B$22:$K$22</c:f>
              <c:strCache>
                <c:ptCount val="10"/>
                <c:pt idx="0">
                  <c:v>II-2021</c:v>
                </c:pt>
                <c:pt idx="1">
                  <c:v>I-2022</c:v>
                </c:pt>
                <c:pt idx="2">
                  <c:v>II-2022</c:v>
                </c:pt>
                <c:pt idx="3">
                  <c:v>III-2022</c:v>
                </c:pt>
                <c:pt idx="4">
                  <c:v>I-2023</c:v>
                </c:pt>
                <c:pt idx="5">
                  <c:v>II-2023</c:v>
                </c:pt>
                <c:pt idx="6">
                  <c:v>I-2024</c:v>
                </c:pt>
                <c:pt idx="7">
                  <c:v>II-2024</c:v>
                </c:pt>
                <c:pt idx="8">
                  <c:v>I-2025</c:v>
                </c:pt>
                <c:pt idx="9">
                  <c:v>II-2025</c:v>
                </c:pt>
              </c:strCache>
            </c:strRef>
          </c:cat>
          <c:val>
            <c:numRef>
              <c:f>Resumen!$B$24:$K$24</c:f>
              <c:numCache>
                <c:formatCode>General</c:formatCode>
                <c:ptCount val="10"/>
                <c:pt idx="0">
                  <c:v>6</c:v>
                </c:pt>
                <c:pt idx="1">
                  <c:v>3</c:v>
                </c:pt>
                <c:pt idx="2">
                  <c:v>4</c:v>
                </c:pt>
                <c:pt idx="3">
                  <c:v>2</c:v>
                </c:pt>
                <c:pt idx="4">
                  <c:v>0</c:v>
                </c:pt>
                <c:pt idx="5">
                  <c:v>4</c:v>
                </c:pt>
                <c:pt idx="6">
                  <c:v>5</c:v>
                </c:pt>
                <c:pt idx="7">
                  <c:v>3</c:v>
                </c:pt>
                <c:pt idx="8">
                  <c:v>7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87-4E0F-97EA-E31568913650}"/>
            </c:ext>
          </c:extLst>
        </c:ser>
        <c:ser>
          <c:idx val="2"/>
          <c:order val="2"/>
          <c:tx>
            <c:strRef>
              <c:f>Resumen!$A$25</c:f>
              <c:strCache>
                <c:ptCount val="1"/>
                <c:pt idx="0">
                  <c:v>I semestre del 2do año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C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Resumen!$B$22:$K$22</c:f>
              <c:strCache>
                <c:ptCount val="10"/>
                <c:pt idx="0">
                  <c:v>II-2021</c:v>
                </c:pt>
                <c:pt idx="1">
                  <c:v>I-2022</c:v>
                </c:pt>
                <c:pt idx="2">
                  <c:v>II-2022</c:v>
                </c:pt>
                <c:pt idx="3">
                  <c:v>III-2022</c:v>
                </c:pt>
                <c:pt idx="4">
                  <c:v>I-2023</c:v>
                </c:pt>
                <c:pt idx="5">
                  <c:v>II-2023</c:v>
                </c:pt>
                <c:pt idx="6">
                  <c:v>I-2024</c:v>
                </c:pt>
                <c:pt idx="7">
                  <c:v>II-2024</c:v>
                </c:pt>
                <c:pt idx="8">
                  <c:v>I-2025</c:v>
                </c:pt>
                <c:pt idx="9">
                  <c:v>II-2025</c:v>
                </c:pt>
              </c:strCache>
            </c:strRef>
          </c:cat>
          <c:val>
            <c:numRef>
              <c:f>Resumen!$B$25:$K$25</c:f>
              <c:numCache>
                <c:formatCode>General</c:formatCode>
                <c:ptCount val="10"/>
                <c:pt idx="0">
                  <c:v>11</c:v>
                </c:pt>
                <c:pt idx="1">
                  <c:v>12</c:v>
                </c:pt>
                <c:pt idx="2">
                  <c:v>12</c:v>
                </c:pt>
                <c:pt idx="3">
                  <c:v>1</c:v>
                </c:pt>
                <c:pt idx="4">
                  <c:v>10</c:v>
                </c:pt>
                <c:pt idx="5">
                  <c:v>10</c:v>
                </c:pt>
                <c:pt idx="6">
                  <c:v>12</c:v>
                </c:pt>
                <c:pt idx="7">
                  <c:v>7</c:v>
                </c:pt>
                <c:pt idx="8">
                  <c:v>7</c:v>
                </c:pt>
                <c:pt idx="9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A87-4E0F-97EA-E31568913650}"/>
            </c:ext>
          </c:extLst>
        </c:ser>
        <c:ser>
          <c:idx val="3"/>
          <c:order val="3"/>
          <c:tx>
            <c:strRef>
              <c:f>Resumen!$A$26</c:f>
              <c:strCache>
                <c:ptCount val="1"/>
                <c:pt idx="0">
                  <c:v>II semestre del 2do año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C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Resumen!$B$22:$K$22</c:f>
              <c:strCache>
                <c:ptCount val="10"/>
                <c:pt idx="0">
                  <c:v>II-2021</c:v>
                </c:pt>
                <c:pt idx="1">
                  <c:v>I-2022</c:v>
                </c:pt>
                <c:pt idx="2">
                  <c:v>II-2022</c:v>
                </c:pt>
                <c:pt idx="3">
                  <c:v>III-2022</c:v>
                </c:pt>
                <c:pt idx="4">
                  <c:v>I-2023</c:v>
                </c:pt>
                <c:pt idx="5">
                  <c:v>II-2023</c:v>
                </c:pt>
                <c:pt idx="6">
                  <c:v>I-2024</c:v>
                </c:pt>
                <c:pt idx="7">
                  <c:v>II-2024</c:v>
                </c:pt>
                <c:pt idx="8">
                  <c:v>I-2025</c:v>
                </c:pt>
                <c:pt idx="9">
                  <c:v>II-2025</c:v>
                </c:pt>
              </c:strCache>
            </c:strRef>
          </c:cat>
          <c:val>
            <c:numRef>
              <c:f>Resumen!$B$26:$K$26</c:f>
              <c:numCache>
                <c:formatCode>General</c:formatCode>
                <c:ptCount val="10"/>
                <c:pt idx="0">
                  <c:v>36</c:v>
                </c:pt>
                <c:pt idx="1">
                  <c:v>26</c:v>
                </c:pt>
                <c:pt idx="2">
                  <c:v>22</c:v>
                </c:pt>
                <c:pt idx="3">
                  <c:v>5</c:v>
                </c:pt>
                <c:pt idx="4">
                  <c:v>24</c:v>
                </c:pt>
                <c:pt idx="5">
                  <c:v>26</c:v>
                </c:pt>
                <c:pt idx="6">
                  <c:v>48</c:v>
                </c:pt>
                <c:pt idx="7">
                  <c:v>26</c:v>
                </c:pt>
                <c:pt idx="8">
                  <c:v>31</c:v>
                </c:pt>
                <c:pt idx="9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A87-4E0F-97EA-E3156891365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89154480"/>
        <c:axId val="1288943776"/>
      </c:barChart>
      <c:catAx>
        <c:axId val="1289154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CR"/>
          </a:p>
        </c:txPr>
        <c:crossAx val="1288943776"/>
        <c:crosses val="autoZero"/>
        <c:auto val="1"/>
        <c:lblAlgn val="ctr"/>
        <c:lblOffset val="100"/>
        <c:noMultiLvlLbl val="0"/>
      </c:catAx>
      <c:valAx>
        <c:axId val="128894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CR"/>
                  <a:t>Cantidad</a:t>
                </a:r>
                <a:r>
                  <a:rPr lang="es-CR" baseline="0"/>
                  <a:t> de Estudiantes</a:t>
                </a:r>
                <a:endParaRPr lang="es-C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C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CR"/>
          </a:p>
        </c:txPr>
        <c:crossAx val="1289154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C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latin typeface="Arial" panose="020B0604020202020204" pitchFamily="34" charset="0"/>
          <a:cs typeface="Arial" panose="020B0604020202020204" pitchFamily="34" charset="0"/>
        </a:defRPr>
      </a:pPr>
      <a:endParaRPr lang="es-C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s-CR"/>
              <a:t>Énfasis que va a escoger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C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Resumen!$A$31</c:f>
              <c:strCache>
                <c:ptCount val="1"/>
                <c:pt idx="0">
                  <c:v>CC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C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Resumen!$B$30:$K$30</c:f>
              <c:strCache>
                <c:ptCount val="10"/>
                <c:pt idx="0">
                  <c:v>II-2021</c:v>
                </c:pt>
                <c:pt idx="1">
                  <c:v>I-2022</c:v>
                </c:pt>
                <c:pt idx="2">
                  <c:v>II-2022</c:v>
                </c:pt>
                <c:pt idx="3">
                  <c:v>III-2022</c:v>
                </c:pt>
                <c:pt idx="4">
                  <c:v>I-2023</c:v>
                </c:pt>
                <c:pt idx="5">
                  <c:v>II-2023</c:v>
                </c:pt>
                <c:pt idx="6">
                  <c:v>I-2024</c:v>
                </c:pt>
                <c:pt idx="7">
                  <c:v>II-2024</c:v>
                </c:pt>
                <c:pt idx="8">
                  <c:v>I-2025</c:v>
                </c:pt>
                <c:pt idx="9">
                  <c:v>II-2025</c:v>
                </c:pt>
              </c:strCache>
            </c:strRef>
          </c:cat>
          <c:val>
            <c:numRef>
              <c:f>Resumen!$B$31:$K$31</c:f>
              <c:numCache>
                <c:formatCode>General</c:formatCode>
                <c:ptCount val="10"/>
                <c:pt idx="0">
                  <c:v>13</c:v>
                </c:pt>
                <c:pt idx="1">
                  <c:v>9</c:v>
                </c:pt>
                <c:pt idx="2">
                  <c:v>22</c:v>
                </c:pt>
                <c:pt idx="3">
                  <c:v>3</c:v>
                </c:pt>
                <c:pt idx="4">
                  <c:v>17</c:v>
                </c:pt>
                <c:pt idx="5">
                  <c:v>18</c:v>
                </c:pt>
                <c:pt idx="6">
                  <c:v>25</c:v>
                </c:pt>
                <c:pt idx="7">
                  <c:v>14</c:v>
                </c:pt>
                <c:pt idx="8">
                  <c:v>24</c:v>
                </c:pt>
                <c:pt idx="9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BF6-4933-A2E5-17330066EE06}"/>
            </c:ext>
          </c:extLst>
        </c:ser>
        <c:ser>
          <c:idx val="1"/>
          <c:order val="1"/>
          <c:tx>
            <c:strRef>
              <c:f>Resumen!$A$32</c:f>
              <c:strCache>
                <c:ptCount val="1"/>
                <c:pt idx="0">
                  <c:v>IS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C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Resumen!$B$30:$K$30</c:f>
              <c:strCache>
                <c:ptCount val="10"/>
                <c:pt idx="0">
                  <c:v>II-2021</c:v>
                </c:pt>
                <c:pt idx="1">
                  <c:v>I-2022</c:v>
                </c:pt>
                <c:pt idx="2">
                  <c:v>II-2022</c:v>
                </c:pt>
                <c:pt idx="3">
                  <c:v>III-2022</c:v>
                </c:pt>
                <c:pt idx="4">
                  <c:v>I-2023</c:v>
                </c:pt>
                <c:pt idx="5">
                  <c:v>II-2023</c:v>
                </c:pt>
                <c:pt idx="6">
                  <c:v>I-2024</c:v>
                </c:pt>
                <c:pt idx="7">
                  <c:v>II-2024</c:v>
                </c:pt>
                <c:pt idx="8">
                  <c:v>I-2025</c:v>
                </c:pt>
                <c:pt idx="9">
                  <c:v>II-2025</c:v>
                </c:pt>
              </c:strCache>
            </c:strRef>
          </c:cat>
          <c:val>
            <c:numRef>
              <c:f>Resumen!$B$32:$K$32</c:f>
              <c:numCache>
                <c:formatCode>General</c:formatCode>
                <c:ptCount val="10"/>
                <c:pt idx="0">
                  <c:v>31</c:v>
                </c:pt>
                <c:pt idx="1">
                  <c:v>25</c:v>
                </c:pt>
                <c:pt idx="2">
                  <c:v>15</c:v>
                </c:pt>
                <c:pt idx="3">
                  <c:v>6</c:v>
                </c:pt>
                <c:pt idx="4">
                  <c:v>13</c:v>
                </c:pt>
                <c:pt idx="5">
                  <c:v>30</c:v>
                </c:pt>
                <c:pt idx="6">
                  <c:v>29</c:v>
                </c:pt>
                <c:pt idx="7">
                  <c:v>13</c:v>
                </c:pt>
                <c:pt idx="8">
                  <c:v>22</c:v>
                </c:pt>
                <c:pt idx="9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BF6-4933-A2E5-17330066EE06}"/>
            </c:ext>
          </c:extLst>
        </c:ser>
        <c:ser>
          <c:idx val="2"/>
          <c:order val="2"/>
          <c:tx>
            <c:strRef>
              <c:f>Resumen!$A$33</c:f>
              <c:strCache>
                <c:ptCount val="1"/>
                <c:pt idx="0">
                  <c:v>ITI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chemeClr val="accent4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C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Resumen!$B$30:$K$30</c:f>
              <c:strCache>
                <c:ptCount val="10"/>
                <c:pt idx="0">
                  <c:v>II-2021</c:v>
                </c:pt>
                <c:pt idx="1">
                  <c:v>I-2022</c:v>
                </c:pt>
                <c:pt idx="2">
                  <c:v>II-2022</c:v>
                </c:pt>
                <c:pt idx="3">
                  <c:v>III-2022</c:v>
                </c:pt>
                <c:pt idx="4">
                  <c:v>I-2023</c:v>
                </c:pt>
                <c:pt idx="5">
                  <c:v>II-2023</c:v>
                </c:pt>
                <c:pt idx="6">
                  <c:v>I-2024</c:v>
                </c:pt>
                <c:pt idx="7">
                  <c:v>II-2024</c:v>
                </c:pt>
                <c:pt idx="8">
                  <c:v>I-2025</c:v>
                </c:pt>
                <c:pt idx="9">
                  <c:v>II-2025</c:v>
                </c:pt>
              </c:strCache>
            </c:strRef>
          </c:cat>
          <c:val>
            <c:numRef>
              <c:f>Resumen!$B$33:$K$33</c:f>
              <c:numCache>
                <c:formatCode>General</c:formatCode>
                <c:ptCount val="10"/>
                <c:pt idx="0">
                  <c:v>18</c:v>
                </c:pt>
                <c:pt idx="1">
                  <c:v>11</c:v>
                </c:pt>
                <c:pt idx="2">
                  <c:v>8</c:v>
                </c:pt>
                <c:pt idx="3">
                  <c:v>1</c:v>
                </c:pt>
                <c:pt idx="4">
                  <c:v>6</c:v>
                </c:pt>
                <c:pt idx="5">
                  <c:v>1</c:v>
                </c:pt>
                <c:pt idx="6">
                  <c:v>18</c:v>
                </c:pt>
                <c:pt idx="7">
                  <c:v>15</c:v>
                </c:pt>
                <c:pt idx="8">
                  <c:v>9</c:v>
                </c:pt>
                <c:pt idx="9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BF6-4933-A2E5-17330066EE0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89154480"/>
        <c:axId val="1288943776"/>
      </c:barChart>
      <c:catAx>
        <c:axId val="1289154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CR"/>
          </a:p>
        </c:txPr>
        <c:crossAx val="1288943776"/>
        <c:crosses val="autoZero"/>
        <c:auto val="1"/>
        <c:lblAlgn val="ctr"/>
        <c:lblOffset val="100"/>
        <c:noMultiLvlLbl val="0"/>
      </c:catAx>
      <c:valAx>
        <c:axId val="128894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CR"/>
                  <a:t>Cantidad</a:t>
                </a:r>
                <a:r>
                  <a:rPr lang="es-CR" baseline="0"/>
                  <a:t> de Estudiantes</a:t>
                </a:r>
                <a:endParaRPr lang="es-C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C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CR"/>
          </a:p>
        </c:txPr>
        <c:crossAx val="1289154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C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latin typeface="Arial" panose="020B0604020202020204" pitchFamily="34" charset="0"/>
          <a:cs typeface="Arial" panose="020B0604020202020204" pitchFamily="34" charset="0"/>
        </a:defRPr>
      </a:pPr>
      <a:endParaRPr lang="es-C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s-ES" sz="1600" b="1">
                <a:latin typeface="Arial" panose="020B0604020202020204" pitchFamily="34" charset="0"/>
                <a:cs typeface="Arial" panose="020B0604020202020204" pitchFamily="34" charset="0"/>
              </a:rPr>
              <a:t>¿Asistió a las actividades ofrecidas en la semana de énfasis?</a:t>
            </a:r>
            <a:endParaRPr lang="en-US" sz="1600" b="1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'I-2021'!$B$1</c:f>
              <c:strCache>
                <c:ptCount val="1"/>
                <c:pt idx="0">
                  <c:v>Asistencia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252-4F8C-87F5-BC83F237420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252-4F8C-87F5-BC83F237420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C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[1]AsistenciaActividades!$A$111:$A$112</c:f>
              <c:strCache>
                <c:ptCount val="2"/>
                <c:pt idx="0">
                  <c:v>Sí</c:v>
                </c:pt>
                <c:pt idx="1">
                  <c:v>No</c:v>
                </c:pt>
              </c:strCache>
            </c:strRef>
          </c:cat>
          <c:val>
            <c:numRef>
              <c:f>'I-2021'!$B$2:$B$3</c:f>
              <c:numCache>
                <c:formatCode>General</c:formatCode>
                <c:ptCount val="2"/>
                <c:pt idx="0">
                  <c:v>64</c:v>
                </c:pt>
                <c:pt idx="1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252-4F8C-87F5-BC83F237420C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C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ref Ruqaa" panose="020B0604020202020204" pitchFamily="2" charset="-78"/>
          <a:cs typeface="Aref Ruqaa" panose="020B0604020202020204" pitchFamily="2" charset="-78"/>
        </a:defRPr>
      </a:pPr>
      <a:endParaRPr lang="es-C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s-ES" sz="1600" b="1">
                <a:latin typeface="Arial" panose="020B0604020202020204" pitchFamily="34" charset="0"/>
                <a:cs typeface="Arial" panose="020B0604020202020204" pitchFamily="34" charset="0"/>
              </a:rPr>
              <a:t>¿Asistió a las actividades ofrecidas en la semana de énfasis?</a:t>
            </a:r>
            <a:endParaRPr lang="en-US" sz="1600" b="1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'II-2021'!$B$1</c:f>
              <c:strCache>
                <c:ptCount val="1"/>
                <c:pt idx="0">
                  <c:v>Asistencia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6F8-42AD-A6B8-F5A18493FBC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6F8-42AD-A6B8-F5A18493FBC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C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[1]AsistenciaActividades!$A$111:$A$112</c:f>
              <c:strCache>
                <c:ptCount val="2"/>
                <c:pt idx="0">
                  <c:v>Sí</c:v>
                </c:pt>
                <c:pt idx="1">
                  <c:v>No</c:v>
                </c:pt>
              </c:strCache>
            </c:strRef>
          </c:cat>
          <c:val>
            <c:numRef>
              <c:f>'II-2021'!$B$2:$B$3</c:f>
              <c:numCache>
                <c:formatCode>General</c:formatCode>
                <c:ptCount val="2"/>
                <c:pt idx="0">
                  <c:v>45</c:v>
                </c:pt>
                <c:pt idx="1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6F8-42AD-A6B8-F5A18493FBC0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C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ref Ruqaa" panose="020B0604020202020204" pitchFamily="2" charset="-78"/>
          <a:cs typeface="Aref Ruqaa" panose="020B0604020202020204" pitchFamily="2" charset="-78"/>
        </a:defRPr>
      </a:pPr>
      <a:endParaRPr lang="es-C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s-ES" sz="1600" b="1">
                <a:latin typeface="Arial" panose="020B0604020202020204" pitchFamily="34" charset="0"/>
                <a:cs typeface="Arial" panose="020B0604020202020204" pitchFamily="34" charset="0"/>
              </a:rPr>
              <a:t>¿Asistió a las actividades ofrecidas en la semana de énfasis?</a:t>
            </a:r>
            <a:endParaRPr lang="en-US" sz="1600" b="1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'I-2022'!$B$1</c:f>
              <c:strCache>
                <c:ptCount val="1"/>
                <c:pt idx="0">
                  <c:v>Asistencia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58D-4916-A07E-1E0CD54FB08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58D-4916-A07E-1E0CD54FB08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C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[1]AsistenciaActividades!$A$111:$A$112</c:f>
              <c:strCache>
                <c:ptCount val="2"/>
                <c:pt idx="0">
                  <c:v>Sí</c:v>
                </c:pt>
                <c:pt idx="1">
                  <c:v>No</c:v>
                </c:pt>
              </c:strCache>
            </c:strRef>
          </c:cat>
          <c:val>
            <c:numRef>
              <c:f>'I-2022'!$B$2:$B$3</c:f>
              <c:numCache>
                <c:formatCode>General</c:formatCode>
                <c:ptCount val="2"/>
                <c:pt idx="0">
                  <c:v>35</c:v>
                </c:pt>
                <c:pt idx="1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58D-4916-A07E-1E0CD54FB080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C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ref Ruqaa" panose="020B0604020202020204" pitchFamily="2" charset="-78"/>
          <a:cs typeface="Aref Ruqaa" panose="020B0604020202020204" pitchFamily="2" charset="-78"/>
        </a:defRPr>
      </a:pPr>
      <a:endParaRPr lang="es-C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s-ES" sz="1600" b="1">
                <a:latin typeface="Arial" panose="020B0604020202020204" pitchFamily="34" charset="0"/>
                <a:cs typeface="Arial" panose="020B0604020202020204" pitchFamily="34" charset="0"/>
              </a:rPr>
              <a:t>¿Asistió a las actividades ofrecidas en la semana de énfasis?</a:t>
            </a:r>
            <a:endParaRPr lang="en-US" sz="1600" b="1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'II-2022'!$B$1</c:f>
              <c:strCache>
                <c:ptCount val="1"/>
                <c:pt idx="0">
                  <c:v>Asistencia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297-49F9-954B-2D7E5B2231B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297-49F9-954B-2D7E5B2231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C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[1]AsistenciaActividades!$A$111:$A$112</c:f>
              <c:strCache>
                <c:ptCount val="2"/>
                <c:pt idx="0">
                  <c:v>Sí</c:v>
                </c:pt>
                <c:pt idx="1">
                  <c:v>No</c:v>
                </c:pt>
              </c:strCache>
            </c:strRef>
          </c:cat>
          <c:val>
            <c:numRef>
              <c:f>'II-2022'!$B$2:$B$3</c:f>
              <c:numCache>
                <c:formatCode>General</c:formatCode>
                <c:ptCount val="2"/>
                <c:pt idx="0">
                  <c:v>25</c:v>
                </c:pt>
                <c:pt idx="1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297-49F9-954B-2D7E5B2231B8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C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ref Ruqaa" panose="020B0604020202020204" pitchFamily="2" charset="-78"/>
          <a:cs typeface="Aref Ruqaa" panose="020B0604020202020204" pitchFamily="2" charset="-78"/>
        </a:defRPr>
      </a:pPr>
      <a:endParaRPr lang="es-C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s-ES" sz="1600" b="1">
                <a:latin typeface="Arial" panose="020B0604020202020204" pitchFamily="34" charset="0"/>
                <a:cs typeface="Arial" panose="020B0604020202020204" pitchFamily="34" charset="0"/>
              </a:rPr>
              <a:t>¿Asistió a las actividades ofrecidas en la semana de énfasis?</a:t>
            </a:r>
            <a:endParaRPr lang="en-US" sz="1600" b="1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'III-2022'!$B$1</c:f>
              <c:strCache>
                <c:ptCount val="1"/>
                <c:pt idx="0">
                  <c:v>Asistencia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299-48B5-B2B5-C55D610461A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299-48B5-B2B5-C55D610461A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C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[1]AsistenciaActividades!$A$111:$A$112</c:f>
              <c:strCache>
                <c:ptCount val="2"/>
                <c:pt idx="0">
                  <c:v>Sí</c:v>
                </c:pt>
                <c:pt idx="1">
                  <c:v>No</c:v>
                </c:pt>
              </c:strCache>
            </c:strRef>
          </c:cat>
          <c:val>
            <c:numRef>
              <c:f>'III-2022'!$B$2:$B$3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299-48B5-B2B5-C55D610461A2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C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ref Ruqaa" panose="020B0604020202020204" pitchFamily="2" charset="-78"/>
          <a:cs typeface="Aref Ruqaa" panose="020B0604020202020204" pitchFamily="2" charset="-78"/>
        </a:defRPr>
      </a:pPr>
      <a:endParaRPr lang="es-C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s-ES" sz="1600" b="1">
                <a:latin typeface="Arial" panose="020B0604020202020204" pitchFamily="34" charset="0"/>
                <a:cs typeface="Arial" panose="020B0604020202020204" pitchFamily="34" charset="0"/>
              </a:rPr>
              <a:t>¿Asistió a las actividades ofrecidas en la semana de énfasis?</a:t>
            </a:r>
            <a:endParaRPr lang="en-US" sz="1600" b="1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'I-2023'!$B$1</c:f>
              <c:strCache>
                <c:ptCount val="1"/>
                <c:pt idx="0">
                  <c:v>Asistencia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4B3-4400-8C7D-BC881B1047B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4B3-4400-8C7D-BC881B1047B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C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[1]AsistenciaActividades!$A$111:$A$112</c:f>
              <c:strCache>
                <c:ptCount val="2"/>
                <c:pt idx="0">
                  <c:v>Sí</c:v>
                </c:pt>
                <c:pt idx="1">
                  <c:v>No</c:v>
                </c:pt>
              </c:strCache>
            </c:strRef>
          </c:cat>
          <c:val>
            <c:numRef>
              <c:f>'I-2023'!$B$2:$B$3</c:f>
              <c:numCache>
                <c:formatCode>General</c:formatCode>
                <c:ptCount val="2"/>
                <c:pt idx="0">
                  <c:v>20</c:v>
                </c:pt>
                <c:pt idx="1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4B3-4400-8C7D-BC881B1047BB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C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ref Ruqaa" panose="020B0604020202020204" pitchFamily="2" charset="-78"/>
          <a:cs typeface="Aref Ruqaa" panose="020B0604020202020204" pitchFamily="2" charset="-78"/>
        </a:defRPr>
      </a:pPr>
      <a:endParaRPr lang="es-C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s-ES" sz="1600" b="1">
                <a:latin typeface="Arial" panose="020B0604020202020204" pitchFamily="34" charset="0"/>
                <a:cs typeface="Arial" panose="020B0604020202020204" pitchFamily="34" charset="0"/>
              </a:rPr>
              <a:t>¿Asistió a las actividades ofrecidas en la semana de énfasis?</a:t>
            </a:r>
            <a:endParaRPr lang="en-US" sz="1600" b="1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'II-2023'!$B$1</c:f>
              <c:strCache>
                <c:ptCount val="1"/>
                <c:pt idx="0">
                  <c:v>Asistencia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21C-4B08-8900-FDC6E58EED1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21C-4B08-8900-FDC6E58EED1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C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[1]AsistenciaActividades!$A$111:$A$112</c:f>
              <c:strCache>
                <c:ptCount val="2"/>
                <c:pt idx="0">
                  <c:v>Sí</c:v>
                </c:pt>
                <c:pt idx="1">
                  <c:v>No</c:v>
                </c:pt>
              </c:strCache>
            </c:strRef>
          </c:cat>
          <c:val>
            <c:numRef>
              <c:f>'II-2023'!$B$2:$B$3</c:f>
              <c:numCache>
                <c:formatCode>General</c:formatCode>
                <c:ptCount val="2"/>
                <c:pt idx="0">
                  <c:v>34</c:v>
                </c:pt>
                <c:pt idx="1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21C-4B08-8900-FDC6E58EED1B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C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ref Ruqaa" panose="020B0604020202020204" pitchFamily="2" charset="-78"/>
          <a:cs typeface="Aref Ruqaa" panose="020B0604020202020204" pitchFamily="2" charset="-78"/>
        </a:defRPr>
      </a:pPr>
      <a:endParaRPr lang="es-C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s-ES" sz="1600" b="1">
                <a:latin typeface="Arial" panose="020B0604020202020204" pitchFamily="34" charset="0"/>
                <a:cs typeface="Arial" panose="020B0604020202020204" pitchFamily="34" charset="0"/>
              </a:rPr>
              <a:t>¿Asistió a las actividades ofrecidas en la semana de énfasis?</a:t>
            </a:r>
            <a:endParaRPr lang="en-US" sz="1600" b="1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'I-2024'!$B$1</c:f>
              <c:strCache>
                <c:ptCount val="1"/>
                <c:pt idx="0">
                  <c:v>Asistencia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3B4-41D1-972B-63448FEBB08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3B4-41D1-972B-63448FEBB08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C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[1]AsistenciaActividades!$A$111:$A$112</c:f>
              <c:strCache>
                <c:ptCount val="2"/>
                <c:pt idx="0">
                  <c:v>Sí</c:v>
                </c:pt>
                <c:pt idx="1">
                  <c:v>No</c:v>
                </c:pt>
              </c:strCache>
            </c:strRef>
          </c:cat>
          <c:val>
            <c:numRef>
              <c:f>'I-2024'!$B$2:$B$3</c:f>
              <c:numCache>
                <c:formatCode>General</c:formatCode>
                <c:ptCount val="2"/>
                <c:pt idx="0">
                  <c:v>50</c:v>
                </c:pt>
                <c:pt idx="1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3B4-41D1-972B-63448FEBB081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C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ref Ruqaa" panose="020B0604020202020204" pitchFamily="2" charset="-78"/>
          <a:cs typeface="Aref Ruqaa" panose="020B0604020202020204" pitchFamily="2" charset="-78"/>
        </a:defRPr>
      </a:pPr>
      <a:endParaRPr lang="es-C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s-ES" sz="1600" b="1">
                <a:latin typeface="Arial" panose="020B0604020202020204" pitchFamily="34" charset="0"/>
                <a:cs typeface="Arial" panose="020B0604020202020204" pitchFamily="34" charset="0"/>
              </a:rPr>
              <a:t>¿Asistió a las actividades ofrecidas en la semana de énfasis?</a:t>
            </a:r>
            <a:endParaRPr lang="en-US" sz="1600" b="1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'II-2024'!$B$1</c:f>
              <c:strCache>
                <c:ptCount val="1"/>
                <c:pt idx="0">
                  <c:v>Asistencia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5F5-44DA-AF31-9641391922B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5F5-44DA-AF31-9641391922B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C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[1]AsistenciaActividades!$A$111:$A$112</c:f>
              <c:strCache>
                <c:ptCount val="2"/>
                <c:pt idx="0">
                  <c:v>Sí</c:v>
                </c:pt>
                <c:pt idx="1">
                  <c:v>No</c:v>
                </c:pt>
              </c:strCache>
            </c:strRef>
          </c:cat>
          <c:val>
            <c:numRef>
              <c:f>'II-2024'!$B$2:$B$3</c:f>
              <c:numCache>
                <c:formatCode>General</c:formatCode>
                <c:ptCount val="2"/>
                <c:pt idx="0">
                  <c:v>31</c:v>
                </c:pt>
                <c:pt idx="1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5F5-44DA-AF31-9641391922BD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C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ref Ruqaa" panose="020B0604020202020204" pitchFamily="2" charset="-78"/>
          <a:cs typeface="Aref Ruqaa" panose="020B0604020202020204" pitchFamily="2" charset="-78"/>
        </a:defRPr>
      </a:pPr>
      <a:endParaRPr lang="es-CR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s-ES" sz="1600" b="1">
                <a:latin typeface="Arial" panose="020B0604020202020204" pitchFamily="34" charset="0"/>
                <a:cs typeface="Arial" panose="020B0604020202020204" pitchFamily="34" charset="0"/>
              </a:rPr>
              <a:t>¿Asistió a las actividades ofrecidas en la semana de énfasis?</a:t>
            </a:r>
            <a:endParaRPr lang="en-US" sz="1600" b="1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'I-2025'!$B$1</c:f>
              <c:strCache>
                <c:ptCount val="1"/>
                <c:pt idx="0">
                  <c:v>Asistencia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D37-40FC-BEA5-61EA4A9A75E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D37-40FC-BEA5-61EA4A9A75E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C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[1]AsistenciaActividades!$A$111:$A$112</c:f>
              <c:strCache>
                <c:ptCount val="2"/>
                <c:pt idx="0">
                  <c:v>Sí</c:v>
                </c:pt>
                <c:pt idx="1">
                  <c:v>No</c:v>
                </c:pt>
              </c:strCache>
            </c:strRef>
          </c:cat>
          <c:val>
            <c:numRef>
              <c:f>'I-2025'!$B$2:$B$3</c:f>
              <c:numCache>
                <c:formatCode>General</c:formatCode>
                <c:ptCount val="2"/>
                <c:pt idx="0">
                  <c:v>36</c:v>
                </c:pt>
                <c:pt idx="1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D37-40FC-BEA5-61EA4A9A75E9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C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ref Ruqaa" panose="020B0604020202020204" pitchFamily="2" charset="-78"/>
          <a:cs typeface="Aref Ruqaa" panose="020B0604020202020204" pitchFamily="2" charset="-78"/>
        </a:defRPr>
      </a:pPr>
      <a:endParaRPr lang="es-CR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s-ES" sz="1600" b="1">
                <a:latin typeface="Arial" panose="020B0604020202020204" pitchFamily="34" charset="0"/>
                <a:cs typeface="Arial" panose="020B0604020202020204" pitchFamily="34" charset="0"/>
              </a:rPr>
              <a:t>¿Asistió a las actividades ofrecidas en la semana de énfasis?</a:t>
            </a:r>
            <a:endParaRPr lang="en-US" sz="1600" b="1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'II-2025'!$B$1</c:f>
              <c:strCache>
                <c:ptCount val="1"/>
                <c:pt idx="0">
                  <c:v>Asistencia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05A-48C2-950F-CF77A85DC6E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05A-48C2-950F-CF77A85DC6E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C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[1]AsistenciaActividades!$A$111:$A$112</c:f>
              <c:strCache>
                <c:ptCount val="2"/>
                <c:pt idx="0">
                  <c:v>Sí</c:v>
                </c:pt>
                <c:pt idx="1">
                  <c:v>No</c:v>
                </c:pt>
              </c:strCache>
            </c:strRef>
          </c:cat>
          <c:val>
            <c:numRef>
              <c:f>'II-2025'!$B$2:$B$3</c:f>
              <c:numCache>
                <c:formatCode>General</c:formatCode>
                <c:ptCount val="2"/>
                <c:pt idx="0">
                  <c:v>23</c:v>
                </c:pt>
                <c:pt idx="1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05A-48C2-950F-CF77A85DC6E8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C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ref Ruqaa" panose="020B0604020202020204" pitchFamily="2" charset="-78"/>
          <a:cs typeface="Aref Ruqaa" panose="020B0604020202020204" pitchFamily="2" charset="-78"/>
        </a:defRPr>
      </a:pPr>
      <a:endParaRPr lang="es-C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761999</xdr:colOff>
      <xdr:row>0</xdr:row>
      <xdr:rowOff>0</xdr:rowOff>
    </xdr:from>
    <xdr:to>
      <xdr:col>23</xdr:col>
      <xdr:colOff>757237</xdr:colOff>
      <xdr:row>14</xdr:row>
      <xdr:rowOff>14287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4E517D9-8F56-4423-8B62-3103A71DFE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761999</xdr:colOff>
      <xdr:row>15</xdr:row>
      <xdr:rowOff>0</xdr:rowOff>
    </xdr:from>
    <xdr:to>
      <xdr:col>24</xdr:col>
      <xdr:colOff>4762</xdr:colOff>
      <xdr:row>34</xdr:row>
      <xdr:rowOff>9525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B7143A8-94C7-4F91-BEED-C92C320891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0</xdr:colOff>
      <xdr:row>35</xdr:row>
      <xdr:rowOff>0</xdr:rowOff>
    </xdr:from>
    <xdr:to>
      <xdr:col>24</xdr:col>
      <xdr:colOff>14287</xdr:colOff>
      <xdr:row>54</xdr:row>
      <xdr:rowOff>9525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EFE9F05F-C6F5-4A1C-A9AB-B7CD2682E8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0</xdr:colOff>
      <xdr:row>55</xdr:row>
      <xdr:rowOff>0</xdr:rowOff>
    </xdr:from>
    <xdr:to>
      <xdr:col>26</xdr:col>
      <xdr:colOff>100012</xdr:colOff>
      <xdr:row>80</xdr:row>
      <xdr:rowOff>28575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C6B48BA8-8160-4E88-B577-E13A0C8084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35</xdr:row>
      <xdr:rowOff>0</xdr:rowOff>
    </xdr:from>
    <xdr:to>
      <xdr:col>8</xdr:col>
      <xdr:colOff>885825</xdr:colOff>
      <xdr:row>59</xdr:row>
      <xdr:rowOff>171450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54FAA7C0-A9F9-4E62-8FDB-FC1AAA3D74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10</xdr:col>
      <xdr:colOff>247650</xdr:colOff>
      <xdr:row>27</xdr:row>
      <xdr:rowOff>54770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BCFBF5C-5638-4A6E-9251-DDA31B4C89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10</xdr:col>
      <xdr:colOff>247650</xdr:colOff>
      <xdr:row>27</xdr:row>
      <xdr:rowOff>54770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391E50E-0BC6-4E8D-BB50-E80C0FEB75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10</xdr:col>
      <xdr:colOff>247650</xdr:colOff>
      <xdr:row>27</xdr:row>
      <xdr:rowOff>54770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3C2F0E0-38E4-413F-934B-70E742F637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10</xdr:col>
      <xdr:colOff>247650</xdr:colOff>
      <xdr:row>27</xdr:row>
      <xdr:rowOff>54770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D837D4D-DAC4-4713-AF3E-FB7D717DB7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10</xdr:col>
      <xdr:colOff>247650</xdr:colOff>
      <xdr:row>27</xdr:row>
      <xdr:rowOff>54770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C2E1A4F-973A-4DF8-9AD3-40171C3BE3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10</xdr:col>
      <xdr:colOff>247650</xdr:colOff>
      <xdr:row>27</xdr:row>
      <xdr:rowOff>54770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DE5361E-B73B-4D44-B95D-9803183124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10</xdr:col>
      <xdr:colOff>247650</xdr:colOff>
      <xdr:row>27</xdr:row>
      <xdr:rowOff>54770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D965316-B004-4655-A5D6-A8975F1BC1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10</xdr:col>
      <xdr:colOff>247650</xdr:colOff>
      <xdr:row>27</xdr:row>
      <xdr:rowOff>54770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63FE92F-4DF7-4A00-A165-3E1C18D120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10</xdr:col>
      <xdr:colOff>247650</xdr:colOff>
      <xdr:row>27</xdr:row>
      <xdr:rowOff>54770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4A4CEF8-E273-478C-8EEC-0A04AB2F5C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10</xdr:col>
      <xdr:colOff>247650</xdr:colOff>
      <xdr:row>27</xdr:row>
      <xdr:rowOff>54770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FD29575-1F99-4AAC-8140-2C4622373A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10</xdr:col>
      <xdr:colOff>247650</xdr:colOff>
      <xdr:row>27</xdr:row>
      <xdr:rowOff>54770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BB45D30-6D6A-4F0D-B974-0ECEB00D5A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krysd\Dropbox\ComisionEvaluacionOrientacion\Enfasis\Encuestas\EncuestaI2021.xlsx" TargetMode="External"/><Relationship Id="rId1" Type="http://schemas.openxmlformats.org/officeDocument/2006/relationships/externalLinkPath" Target="EncuestaI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ncuesta"/>
      <sheetName val="MediosComunicacion"/>
      <sheetName val="AsistenciaActividades"/>
      <sheetName val="CalificacionActividades"/>
      <sheetName val="DecisionTomada"/>
    </sheetNames>
    <sheetDataSet>
      <sheetData sheetId="0"/>
      <sheetData sheetId="1"/>
      <sheetData sheetId="2">
        <row r="111">
          <cell r="A111" t="str">
            <v>Sí</v>
          </cell>
        </row>
        <row r="112">
          <cell r="A112" t="str">
            <v>No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55ED2-478C-4D75-A73B-8B75D04BE8E2}">
  <dimension ref="A1:P35"/>
  <sheetViews>
    <sheetView tabSelected="1" topLeftCell="A25" workbookViewId="0">
      <selection activeCell="L46" sqref="L46"/>
    </sheetView>
  </sheetViews>
  <sheetFormatPr baseColWidth="10" defaultRowHeight="14.25" x14ac:dyDescent="0.45"/>
  <cols>
    <col min="1" max="1" width="22.265625" style="11" bestFit="1" customWidth="1"/>
    <col min="2" max="12" width="12.59765625" style="11" customWidth="1"/>
    <col min="13" max="16" width="10.6640625" style="11"/>
  </cols>
  <sheetData>
    <row r="1" spans="1:12" ht="14.25" customHeight="1" x14ac:dyDescent="0.45">
      <c r="A1" s="6"/>
      <c r="B1" s="19" t="s">
        <v>28</v>
      </c>
      <c r="C1" s="20"/>
      <c r="D1" s="20"/>
      <c r="E1" s="20"/>
      <c r="F1" s="20"/>
      <c r="G1" s="20"/>
      <c r="H1" s="20"/>
      <c r="I1" s="20"/>
      <c r="J1" s="18"/>
      <c r="K1" s="18"/>
      <c r="L1" s="18"/>
    </row>
    <row r="2" spans="1:12" x14ac:dyDescent="0.45">
      <c r="A2" s="6"/>
      <c r="B2" s="1" t="s">
        <v>22</v>
      </c>
      <c r="C2" s="1" t="s">
        <v>23</v>
      </c>
      <c r="D2" s="1" t="s">
        <v>24</v>
      </c>
      <c r="E2" s="1" t="s">
        <v>25</v>
      </c>
      <c r="F2" s="1" t="s">
        <v>26</v>
      </c>
      <c r="G2" s="1" t="s">
        <v>27</v>
      </c>
      <c r="H2" s="1" t="s">
        <v>29</v>
      </c>
      <c r="I2" s="1" t="s">
        <v>30</v>
      </c>
      <c r="J2" s="1" t="s">
        <v>32</v>
      </c>
      <c r="K2" s="1" t="s">
        <v>31</v>
      </c>
      <c r="L2" s="1" t="s">
        <v>33</v>
      </c>
    </row>
    <row r="3" spans="1:12" x14ac:dyDescent="0.45">
      <c r="A3" s="1" t="s">
        <v>1</v>
      </c>
      <c r="B3" s="6">
        <f>'I-2021'!B2</f>
        <v>64</v>
      </c>
      <c r="C3" s="6">
        <f>'II-2021'!B2</f>
        <v>45</v>
      </c>
      <c r="D3" s="6">
        <f>'I-2022'!B2</f>
        <v>35</v>
      </c>
      <c r="E3" s="6">
        <f>'II-2022'!B2</f>
        <v>25</v>
      </c>
      <c r="F3" s="6">
        <f>'III-2022'!B2</f>
        <v>5</v>
      </c>
      <c r="G3" s="6">
        <f>'I-2023'!B2</f>
        <v>20</v>
      </c>
      <c r="H3" s="6">
        <f>'II-2023'!B2</f>
        <v>34</v>
      </c>
      <c r="I3" s="6">
        <f>'I-2024'!B2</f>
        <v>50</v>
      </c>
      <c r="J3" s="6">
        <f>'II-2024'!B2</f>
        <v>31</v>
      </c>
      <c r="K3" s="6">
        <f>'I-2025'!B2</f>
        <v>36</v>
      </c>
      <c r="L3" s="6">
        <f>'II-2025'!B2</f>
        <v>23</v>
      </c>
    </row>
    <row r="4" spans="1:12" x14ac:dyDescent="0.45">
      <c r="A4" s="1" t="s">
        <v>2</v>
      </c>
      <c r="B4" s="6">
        <f>'I-2021'!B3</f>
        <v>33</v>
      </c>
      <c r="C4" s="6">
        <f>'II-2021'!B3</f>
        <v>17</v>
      </c>
      <c r="D4" s="6">
        <f>'I-2022'!B3</f>
        <v>10</v>
      </c>
      <c r="E4" s="6">
        <f>'II-2022'!B3</f>
        <v>20</v>
      </c>
      <c r="F4" s="6">
        <f>'III-2022'!B3</f>
        <v>5</v>
      </c>
      <c r="G4" s="6">
        <f>'I-2023'!B3</f>
        <v>16</v>
      </c>
      <c r="H4" s="6">
        <f>'II-2023'!B3</f>
        <v>15</v>
      </c>
      <c r="I4" s="6">
        <f>'I-2024'!B3</f>
        <v>22</v>
      </c>
      <c r="J4" s="6">
        <f>'II-2024'!B3</f>
        <v>11</v>
      </c>
      <c r="K4" s="6">
        <f>'I-2025'!B3</f>
        <v>19</v>
      </c>
      <c r="L4" s="6">
        <f>'II-2025'!B3</f>
        <v>18</v>
      </c>
    </row>
    <row r="5" spans="1:12" x14ac:dyDescent="0.45">
      <c r="A5" s="1" t="s">
        <v>5</v>
      </c>
      <c r="B5" s="8">
        <f t="shared" ref="B5:G5" si="0">SUM(B3:B4)</f>
        <v>97</v>
      </c>
      <c r="C5" s="8">
        <f t="shared" si="0"/>
        <v>62</v>
      </c>
      <c r="D5" s="8">
        <f t="shared" si="0"/>
        <v>45</v>
      </c>
      <c r="E5" s="8">
        <f t="shared" si="0"/>
        <v>45</v>
      </c>
      <c r="F5" s="8">
        <f t="shared" si="0"/>
        <v>10</v>
      </c>
      <c r="G5" s="8">
        <f t="shared" si="0"/>
        <v>36</v>
      </c>
      <c r="H5" s="8">
        <f t="shared" ref="H5" si="1">SUM(H3:H4)</f>
        <v>49</v>
      </c>
      <c r="I5" s="8">
        <f t="shared" ref="I5:L5" si="2">SUM(I3:I4)</f>
        <v>72</v>
      </c>
      <c r="J5" s="8">
        <f t="shared" si="2"/>
        <v>42</v>
      </c>
      <c r="K5" s="8">
        <f t="shared" si="2"/>
        <v>55</v>
      </c>
      <c r="L5" s="8">
        <f t="shared" si="2"/>
        <v>41</v>
      </c>
    </row>
    <row r="7" spans="1:12" ht="29.65" customHeight="1" x14ac:dyDescent="0.45">
      <c r="B7" s="19" t="s">
        <v>20</v>
      </c>
      <c r="C7" s="20"/>
      <c r="D7" s="20"/>
      <c r="E7" s="20"/>
      <c r="F7" s="20"/>
      <c r="G7" s="20"/>
      <c r="H7" s="20"/>
    </row>
    <row r="8" spans="1:12" x14ac:dyDescent="0.45">
      <c r="B8" s="1" t="s">
        <v>23</v>
      </c>
      <c r="C8" s="1" t="s">
        <v>24</v>
      </c>
      <c r="D8" s="1" t="s">
        <v>25</v>
      </c>
      <c r="E8" s="1" t="s">
        <v>26</v>
      </c>
      <c r="F8" s="1" t="s">
        <v>27</v>
      </c>
      <c r="G8" s="1" t="s">
        <v>29</v>
      </c>
      <c r="H8" s="1" t="s">
        <v>30</v>
      </c>
      <c r="I8" s="1" t="s">
        <v>32</v>
      </c>
      <c r="J8" s="1" t="s">
        <v>31</v>
      </c>
      <c r="K8" s="1" t="s">
        <v>33</v>
      </c>
    </row>
    <row r="9" spans="1:12" x14ac:dyDescent="0.45">
      <c r="A9" s="8" t="s">
        <v>1</v>
      </c>
      <c r="B9" s="6">
        <f>'II-2021'!C30</f>
        <v>18</v>
      </c>
      <c r="C9" s="6">
        <f>'I-2022'!C30</f>
        <v>8</v>
      </c>
      <c r="D9" s="6">
        <f>'II-2022'!C30</f>
        <v>1</v>
      </c>
      <c r="E9" s="6">
        <f>'III-2022'!C30</f>
        <v>1</v>
      </c>
      <c r="F9" s="6">
        <f>'I-2023'!C30</f>
        <v>5</v>
      </c>
      <c r="G9" s="6">
        <f>'II-2023'!C30</f>
        <v>6</v>
      </c>
      <c r="H9" s="6">
        <f>'I-2024'!C30</f>
        <v>14</v>
      </c>
      <c r="I9" s="6">
        <f>'II-2024'!C30</f>
        <v>13</v>
      </c>
      <c r="J9" s="6">
        <f>'I-2025'!C30</f>
        <v>15</v>
      </c>
      <c r="K9" s="6">
        <f>'II-2025'!C30</f>
        <v>4</v>
      </c>
    </row>
    <row r="10" spans="1:12" x14ac:dyDescent="0.45">
      <c r="A10" s="8" t="s">
        <v>2</v>
      </c>
      <c r="B10" s="6">
        <f>'II-2021'!C31</f>
        <v>9</v>
      </c>
      <c r="C10" s="6">
        <f>'I-2022'!C31</f>
        <v>6</v>
      </c>
      <c r="D10" s="6">
        <f>'II-2022'!C31</f>
        <v>6</v>
      </c>
      <c r="E10" s="6">
        <f>'III-2022'!C31</f>
        <v>0</v>
      </c>
      <c r="F10" s="6">
        <f>'I-2023'!C31</f>
        <v>2</v>
      </c>
      <c r="G10" s="6">
        <f>'II-2023'!C31</f>
        <v>9</v>
      </c>
      <c r="H10" s="6">
        <f>'I-2024'!C31</f>
        <v>9</v>
      </c>
      <c r="I10" s="6">
        <f>'II-2024'!C31</f>
        <v>1</v>
      </c>
      <c r="J10" s="6">
        <f>'I-2025'!C31</f>
        <v>4</v>
      </c>
      <c r="K10" s="6">
        <f>'II-2025'!C31</f>
        <v>9</v>
      </c>
    </row>
    <row r="11" spans="1:12" x14ac:dyDescent="0.45">
      <c r="A11" s="12" t="s">
        <v>10</v>
      </c>
      <c r="B11" s="6">
        <f>'II-2021'!C32</f>
        <v>18</v>
      </c>
      <c r="C11" s="6">
        <f>'I-2022'!C32</f>
        <v>21</v>
      </c>
      <c r="D11" s="6">
        <f>'II-2022'!C32</f>
        <v>18</v>
      </c>
      <c r="E11" s="6">
        <f>'III-2022'!C32</f>
        <v>4</v>
      </c>
      <c r="F11" s="6">
        <f>'I-2023'!C32</f>
        <v>13</v>
      </c>
      <c r="G11" s="6">
        <f>'II-2023'!C32</f>
        <v>19</v>
      </c>
      <c r="H11" s="6">
        <f>'I-2024'!C32</f>
        <v>27</v>
      </c>
      <c r="I11" s="6">
        <f>'II-2024'!C32</f>
        <v>17</v>
      </c>
      <c r="J11" s="6">
        <f>'I-2025'!C32</f>
        <v>17</v>
      </c>
      <c r="K11" s="6">
        <f>'II-2025'!C32</f>
        <v>10</v>
      </c>
    </row>
    <row r="12" spans="1:12" x14ac:dyDescent="0.45">
      <c r="A12" s="8" t="s">
        <v>4</v>
      </c>
      <c r="B12" s="6">
        <f>'II-2021'!C33</f>
        <v>17</v>
      </c>
      <c r="C12" s="6">
        <f>'I-2022'!C33</f>
        <v>10</v>
      </c>
      <c r="D12" s="6">
        <f>'II-2022'!C33</f>
        <v>20</v>
      </c>
      <c r="E12" s="6">
        <f>'III-2022'!C33</f>
        <v>5</v>
      </c>
      <c r="F12" s="6">
        <f>'I-2023'!C33</f>
        <v>16</v>
      </c>
      <c r="G12" s="6">
        <f>'II-2023'!C33</f>
        <v>15</v>
      </c>
      <c r="H12" s="6">
        <f>'I-2024'!C33</f>
        <v>22</v>
      </c>
      <c r="I12" s="6">
        <f>'II-2024'!C33</f>
        <v>11</v>
      </c>
      <c r="J12" s="6">
        <f>'I-2025'!C33</f>
        <v>19</v>
      </c>
      <c r="K12" s="6">
        <f>'II-2025'!C33</f>
        <v>18</v>
      </c>
    </row>
    <row r="13" spans="1:12" x14ac:dyDescent="0.45">
      <c r="A13" s="1" t="s">
        <v>5</v>
      </c>
      <c r="B13" s="8">
        <f>SUM(B9:B12)</f>
        <v>62</v>
      </c>
      <c r="C13" s="8">
        <f t="shared" ref="C13:K13" si="3">SUM(C9:C12)</f>
        <v>45</v>
      </c>
      <c r="D13" s="8">
        <f t="shared" si="3"/>
        <v>45</v>
      </c>
      <c r="E13" s="8">
        <f t="shared" si="3"/>
        <v>10</v>
      </c>
      <c r="F13" s="8">
        <f t="shared" si="3"/>
        <v>36</v>
      </c>
      <c r="G13" s="8">
        <f t="shared" si="3"/>
        <v>49</v>
      </c>
      <c r="H13" s="8">
        <f t="shared" si="3"/>
        <v>72</v>
      </c>
      <c r="I13" s="8">
        <f t="shared" si="3"/>
        <v>42</v>
      </c>
      <c r="J13" s="8">
        <f t="shared" si="3"/>
        <v>55</v>
      </c>
      <c r="K13" s="8">
        <f t="shared" si="3"/>
        <v>41</v>
      </c>
    </row>
    <row r="15" spans="1:12" ht="28.5" customHeight="1" x14ac:dyDescent="0.45">
      <c r="B15" s="21" t="s">
        <v>21</v>
      </c>
      <c r="C15" s="22"/>
      <c r="D15" s="22"/>
      <c r="E15" s="22"/>
      <c r="F15" s="22"/>
      <c r="G15" s="22"/>
      <c r="H15" s="22"/>
    </row>
    <row r="16" spans="1:12" x14ac:dyDescent="0.45">
      <c r="B16" s="1" t="s">
        <v>23</v>
      </c>
      <c r="C16" s="1" t="s">
        <v>24</v>
      </c>
      <c r="D16" s="1" t="s">
        <v>25</v>
      </c>
      <c r="E16" s="1" t="s">
        <v>26</v>
      </c>
      <c r="F16" s="1" t="s">
        <v>27</v>
      </c>
      <c r="G16" s="1" t="s">
        <v>29</v>
      </c>
      <c r="H16" s="1" t="s">
        <v>30</v>
      </c>
      <c r="I16" s="1" t="s">
        <v>32</v>
      </c>
      <c r="J16" s="1" t="s">
        <v>31</v>
      </c>
      <c r="K16" s="1" t="s">
        <v>33</v>
      </c>
    </row>
    <row r="17" spans="1:11" x14ac:dyDescent="0.45">
      <c r="A17" s="8" t="s">
        <v>1</v>
      </c>
      <c r="B17" s="6">
        <f>'II-2021'!B30</f>
        <v>21</v>
      </c>
      <c r="C17" s="6">
        <f>'I-2022'!B30</f>
        <v>9</v>
      </c>
      <c r="D17" s="6">
        <f>'II-2022'!B30</f>
        <v>6</v>
      </c>
      <c r="E17" s="6">
        <f>'III-2022'!B30</f>
        <v>2</v>
      </c>
      <c r="F17" s="6">
        <f>'I-2023'!B30</f>
        <v>5</v>
      </c>
      <c r="G17" s="6">
        <f>'II-2023'!B30</f>
        <v>7</v>
      </c>
      <c r="H17" s="6">
        <f>'I-2024'!B30</f>
        <v>17</v>
      </c>
      <c r="I17" s="6">
        <f>'II-2024'!B30</f>
        <v>13</v>
      </c>
      <c r="J17" s="6">
        <f>'I-2025'!B30</f>
        <v>14</v>
      </c>
      <c r="K17" s="6">
        <f>'II-2025'!B30</f>
        <v>7</v>
      </c>
    </row>
    <row r="18" spans="1:11" x14ac:dyDescent="0.45">
      <c r="A18" s="8" t="s">
        <v>2</v>
      </c>
      <c r="B18" s="6">
        <f>'II-2021'!B31</f>
        <v>41</v>
      </c>
      <c r="C18" s="6">
        <f>'I-2022'!B31</f>
        <v>36</v>
      </c>
      <c r="D18" s="6">
        <f>'II-2022'!B31</f>
        <v>39</v>
      </c>
      <c r="E18" s="6">
        <f>'III-2022'!B31</f>
        <v>8</v>
      </c>
      <c r="F18" s="6">
        <f>'I-2023'!B31</f>
        <v>31</v>
      </c>
      <c r="G18" s="6">
        <f>'II-2023'!B31</f>
        <v>42</v>
      </c>
      <c r="H18" s="6">
        <f>'I-2024'!B31</f>
        <v>55</v>
      </c>
      <c r="I18" s="6">
        <f>'II-2024'!B31</f>
        <v>29</v>
      </c>
      <c r="J18" s="6">
        <f>'I-2025'!B31</f>
        <v>41</v>
      </c>
      <c r="K18" s="6">
        <f>'II-2025'!B31</f>
        <v>34</v>
      </c>
    </row>
    <row r="19" spans="1:11" x14ac:dyDescent="0.45">
      <c r="A19" s="1" t="s">
        <v>5</v>
      </c>
      <c r="B19" s="8">
        <f>SUM(B17:B18)</f>
        <v>62</v>
      </c>
      <c r="C19" s="8">
        <f t="shared" ref="C19:K19" si="4">SUM(C17:C18)</f>
        <v>45</v>
      </c>
      <c r="D19" s="8">
        <f t="shared" si="4"/>
        <v>45</v>
      </c>
      <c r="E19" s="8">
        <f t="shared" si="4"/>
        <v>10</v>
      </c>
      <c r="F19" s="8">
        <f t="shared" si="4"/>
        <v>36</v>
      </c>
      <c r="G19" s="8">
        <f t="shared" si="4"/>
        <v>49</v>
      </c>
      <c r="H19" s="8">
        <f t="shared" si="4"/>
        <v>72</v>
      </c>
      <c r="I19" s="8">
        <f t="shared" si="4"/>
        <v>42</v>
      </c>
      <c r="J19" s="8">
        <f t="shared" si="4"/>
        <v>55</v>
      </c>
      <c r="K19" s="8">
        <f t="shared" si="4"/>
        <v>41</v>
      </c>
    </row>
    <row r="21" spans="1:11" ht="14.25" customHeight="1" x14ac:dyDescent="0.45">
      <c r="B21" s="21" t="s">
        <v>15</v>
      </c>
      <c r="C21" s="22"/>
      <c r="D21" s="22"/>
      <c r="E21" s="22"/>
      <c r="F21" s="22"/>
      <c r="G21" s="22"/>
      <c r="H21" s="22"/>
    </row>
    <row r="22" spans="1:11" x14ac:dyDescent="0.45">
      <c r="B22" s="1" t="s">
        <v>23</v>
      </c>
      <c r="C22" s="1" t="s">
        <v>24</v>
      </c>
      <c r="D22" s="1" t="s">
        <v>25</v>
      </c>
      <c r="E22" s="1" t="s">
        <v>26</v>
      </c>
      <c r="F22" s="1" t="s">
        <v>27</v>
      </c>
      <c r="G22" s="1" t="s">
        <v>29</v>
      </c>
      <c r="H22" s="1" t="s">
        <v>30</v>
      </c>
      <c r="I22" s="1" t="s">
        <v>32</v>
      </c>
      <c r="J22" s="1" t="s">
        <v>31</v>
      </c>
      <c r="K22" s="1" t="s">
        <v>33</v>
      </c>
    </row>
    <row r="23" spans="1:11" x14ac:dyDescent="0.45">
      <c r="A23" s="8" t="s">
        <v>11</v>
      </c>
      <c r="B23" s="6">
        <f>'II-2021'!I30</f>
        <v>9</v>
      </c>
      <c r="C23" s="6">
        <f>'I-2022'!I30</f>
        <v>4</v>
      </c>
      <c r="D23" s="6">
        <f>'II-2022'!I30</f>
        <v>7</v>
      </c>
      <c r="E23" s="6">
        <f>'III-2022'!I30</f>
        <v>2</v>
      </c>
      <c r="F23" s="6">
        <f>'I-2023'!I30</f>
        <v>2</v>
      </c>
      <c r="G23" s="6">
        <f>'II-2023'!I30</f>
        <v>9</v>
      </c>
      <c r="H23" s="6">
        <f>'I-2024'!I30</f>
        <v>7</v>
      </c>
      <c r="I23" s="6">
        <f>'II-2024'!I30</f>
        <v>6</v>
      </c>
      <c r="J23" s="6">
        <f>'I-2025'!I30</f>
        <v>10</v>
      </c>
      <c r="K23" s="6">
        <f>'II-2025'!I30</f>
        <v>11</v>
      </c>
    </row>
    <row r="24" spans="1:11" x14ac:dyDescent="0.45">
      <c r="A24" s="8" t="s">
        <v>12</v>
      </c>
      <c r="B24" s="6">
        <f>'II-2021'!I31</f>
        <v>6</v>
      </c>
      <c r="C24" s="6">
        <f>'I-2022'!I31</f>
        <v>3</v>
      </c>
      <c r="D24" s="6">
        <f>'II-2022'!I31</f>
        <v>4</v>
      </c>
      <c r="E24" s="6">
        <f>'III-2022'!I31</f>
        <v>2</v>
      </c>
      <c r="F24" s="6">
        <f>'I-2023'!I31</f>
        <v>0</v>
      </c>
      <c r="G24" s="6">
        <f>'II-2023'!I31</f>
        <v>4</v>
      </c>
      <c r="H24" s="6">
        <f>'I-2024'!I31</f>
        <v>5</v>
      </c>
      <c r="I24" s="6">
        <f>'II-2024'!I31</f>
        <v>3</v>
      </c>
      <c r="J24" s="6">
        <f>'I-2025'!I31</f>
        <v>7</v>
      </c>
      <c r="K24" s="6">
        <f>'II-2025'!I31</f>
        <v>2</v>
      </c>
    </row>
    <row r="25" spans="1:11" x14ac:dyDescent="0.45">
      <c r="A25" s="8" t="s">
        <v>13</v>
      </c>
      <c r="B25" s="6">
        <f>'II-2021'!I32</f>
        <v>11</v>
      </c>
      <c r="C25" s="6">
        <f>'I-2022'!I32</f>
        <v>12</v>
      </c>
      <c r="D25" s="6">
        <f>'II-2022'!I32</f>
        <v>12</v>
      </c>
      <c r="E25" s="6">
        <f>'III-2022'!I32</f>
        <v>1</v>
      </c>
      <c r="F25" s="6">
        <f>'I-2023'!I32</f>
        <v>10</v>
      </c>
      <c r="G25" s="6">
        <f>'II-2023'!I32</f>
        <v>10</v>
      </c>
      <c r="H25" s="6">
        <f>'I-2024'!I32</f>
        <v>12</v>
      </c>
      <c r="I25" s="6">
        <f>'II-2024'!I32</f>
        <v>7</v>
      </c>
      <c r="J25" s="6">
        <f>'I-2025'!I32</f>
        <v>7</v>
      </c>
      <c r="K25" s="6">
        <f>'II-2025'!I32</f>
        <v>6</v>
      </c>
    </row>
    <row r="26" spans="1:11" x14ac:dyDescent="0.45">
      <c r="A26" s="8" t="s">
        <v>14</v>
      </c>
      <c r="B26" s="6">
        <f>'II-2021'!I33</f>
        <v>36</v>
      </c>
      <c r="C26" s="6">
        <f>'I-2022'!I33</f>
        <v>26</v>
      </c>
      <c r="D26" s="6">
        <f>'II-2022'!I33</f>
        <v>22</v>
      </c>
      <c r="E26" s="6">
        <f>'III-2022'!I33</f>
        <v>5</v>
      </c>
      <c r="F26" s="6">
        <f>'I-2023'!I33</f>
        <v>24</v>
      </c>
      <c r="G26" s="6">
        <f>'II-2023'!I33</f>
        <v>26</v>
      </c>
      <c r="H26" s="6">
        <f>'I-2024'!I33</f>
        <v>48</v>
      </c>
      <c r="I26" s="6">
        <f>'II-2024'!I33</f>
        <v>26</v>
      </c>
      <c r="J26" s="6">
        <f>'I-2025'!I33</f>
        <v>31</v>
      </c>
      <c r="K26" s="6">
        <f>'II-2025'!I33</f>
        <v>22</v>
      </c>
    </row>
    <row r="27" spans="1:11" x14ac:dyDescent="0.45">
      <c r="A27" s="1" t="s">
        <v>5</v>
      </c>
      <c r="B27" s="13">
        <f>SUM(B23:B26)</f>
        <v>62</v>
      </c>
      <c r="C27" s="13">
        <f t="shared" ref="C27:K27" si="5">SUM(C23:C26)</f>
        <v>45</v>
      </c>
      <c r="D27" s="13">
        <f t="shared" si="5"/>
        <v>45</v>
      </c>
      <c r="E27" s="13">
        <f t="shared" si="5"/>
        <v>10</v>
      </c>
      <c r="F27" s="13">
        <f t="shared" si="5"/>
        <v>36</v>
      </c>
      <c r="G27" s="13">
        <f t="shared" si="5"/>
        <v>49</v>
      </c>
      <c r="H27" s="13">
        <f t="shared" si="5"/>
        <v>72</v>
      </c>
      <c r="I27" s="13">
        <f t="shared" si="5"/>
        <v>42</v>
      </c>
      <c r="J27" s="13">
        <f t="shared" si="5"/>
        <v>55</v>
      </c>
      <c r="K27" s="13">
        <f t="shared" si="5"/>
        <v>41</v>
      </c>
    </row>
    <row r="28" spans="1:11" x14ac:dyDescent="0.45">
      <c r="A28" s="16"/>
    </row>
    <row r="29" spans="1:11" ht="14.25" customHeight="1" x14ac:dyDescent="0.45">
      <c r="A29" s="17"/>
      <c r="B29" s="19" t="s">
        <v>34</v>
      </c>
      <c r="C29" s="20"/>
      <c r="D29" s="20"/>
      <c r="E29" s="20"/>
      <c r="F29" s="20"/>
      <c r="G29" s="20"/>
      <c r="H29" s="20"/>
    </row>
    <row r="30" spans="1:11" x14ac:dyDescent="0.45">
      <c r="A30" s="17"/>
      <c r="B30" s="1" t="s">
        <v>23</v>
      </c>
      <c r="C30" s="1" t="s">
        <v>24</v>
      </c>
      <c r="D30" s="1" t="s">
        <v>25</v>
      </c>
      <c r="E30" s="1" t="s">
        <v>26</v>
      </c>
      <c r="F30" s="1" t="s">
        <v>27</v>
      </c>
      <c r="G30" s="1" t="s">
        <v>29</v>
      </c>
      <c r="H30" s="1" t="s">
        <v>30</v>
      </c>
      <c r="I30" s="1" t="s">
        <v>32</v>
      </c>
      <c r="J30" s="1" t="s">
        <v>31</v>
      </c>
      <c r="K30" s="1" t="s">
        <v>33</v>
      </c>
    </row>
    <row r="31" spans="1:11" x14ac:dyDescent="0.45">
      <c r="A31" s="14" t="s">
        <v>16</v>
      </c>
      <c r="B31" s="6">
        <f>'II-2021'!L30</f>
        <v>13</v>
      </c>
      <c r="C31" s="6">
        <f>'I-2022'!L30</f>
        <v>9</v>
      </c>
      <c r="D31" s="6">
        <f>'II-2022'!L30</f>
        <v>22</v>
      </c>
      <c r="E31" s="6">
        <f>'III-2022'!L30</f>
        <v>3</v>
      </c>
      <c r="F31" s="6">
        <f>'I-2023'!L30</f>
        <v>17</v>
      </c>
      <c r="G31" s="6">
        <f>'II-2023'!L30</f>
        <v>18</v>
      </c>
      <c r="H31" s="6">
        <f>'I-2024'!L30</f>
        <v>25</v>
      </c>
      <c r="I31" s="6">
        <f>'II-2024'!L30</f>
        <v>14</v>
      </c>
      <c r="J31" s="6">
        <f>'I-2025'!L30</f>
        <v>24</v>
      </c>
      <c r="K31" s="6">
        <f>'II-2025'!L30</f>
        <v>13</v>
      </c>
    </row>
    <row r="32" spans="1:11" x14ac:dyDescent="0.45">
      <c r="A32" s="14" t="s">
        <v>17</v>
      </c>
      <c r="B32" s="6">
        <f>'II-2021'!L31</f>
        <v>31</v>
      </c>
      <c r="C32" s="6">
        <f>'I-2022'!L31</f>
        <v>25</v>
      </c>
      <c r="D32" s="6">
        <f>'II-2022'!L31</f>
        <v>15</v>
      </c>
      <c r="E32" s="6">
        <f>'III-2022'!L31</f>
        <v>6</v>
      </c>
      <c r="F32" s="6">
        <f>'I-2023'!L31</f>
        <v>13</v>
      </c>
      <c r="G32" s="6">
        <f>'II-2023'!L31</f>
        <v>30</v>
      </c>
      <c r="H32" s="6">
        <f>'I-2024'!L31</f>
        <v>29</v>
      </c>
      <c r="I32" s="6">
        <f>'II-2024'!L31</f>
        <v>13</v>
      </c>
      <c r="J32" s="6">
        <f>'I-2025'!L31</f>
        <v>22</v>
      </c>
      <c r="K32" s="6">
        <f>'II-2025'!L31</f>
        <v>19</v>
      </c>
    </row>
    <row r="33" spans="1:11" x14ac:dyDescent="0.45">
      <c r="A33" s="14" t="s">
        <v>18</v>
      </c>
      <c r="B33" s="6">
        <f>'II-2021'!L32</f>
        <v>18</v>
      </c>
      <c r="C33" s="6">
        <f>'I-2022'!L32</f>
        <v>11</v>
      </c>
      <c r="D33" s="6">
        <f>'II-2022'!L32</f>
        <v>8</v>
      </c>
      <c r="E33" s="6">
        <f>'III-2022'!L32</f>
        <v>1</v>
      </c>
      <c r="F33" s="6">
        <f>'I-2023'!L32</f>
        <v>6</v>
      </c>
      <c r="G33" s="6">
        <f>'II-2023'!L32</f>
        <v>1</v>
      </c>
      <c r="H33" s="6">
        <f>'I-2024'!L32</f>
        <v>18</v>
      </c>
      <c r="I33" s="6">
        <f>'II-2024'!L32</f>
        <v>15</v>
      </c>
      <c r="J33" s="6">
        <f>'I-2025'!L32</f>
        <v>9</v>
      </c>
      <c r="K33" s="6">
        <f>'II-2025'!L32</f>
        <v>9</v>
      </c>
    </row>
    <row r="34" spans="1:11" x14ac:dyDescent="0.45">
      <c r="A34" s="9" t="s">
        <v>5</v>
      </c>
      <c r="B34" s="8">
        <f>SUM(B31:B33)</f>
        <v>62</v>
      </c>
      <c r="C34" s="8">
        <f t="shared" ref="C34:K34" si="6">SUM(C31:C33)</f>
        <v>45</v>
      </c>
      <c r="D34" s="8">
        <f t="shared" si="6"/>
        <v>45</v>
      </c>
      <c r="E34" s="8">
        <f t="shared" si="6"/>
        <v>10</v>
      </c>
      <c r="F34" s="8">
        <f t="shared" si="6"/>
        <v>36</v>
      </c>
      <c r="G34" s="8">
        <f t="shared" si="6"/>
        <v>49</v>
      </c>
      <c r="H34" s="8">
        <f t="shared" si="6"/>
        <v>72</v>
      </c>
      <c r="I34" s="8">
        <f t="shared" si="6"/>
        <v>42</v>
      </c>
      <c r="J34" s="8">
        <f t="shared" si="6"/>
        <v>55</v>
      </c>
      <c r="K34" s="8">
        <f t="shared" si="6"/>
        <v>41</v>
      </c>
    </row>
    <row r="35" spans="1:11" x14ac:dyDescent="0.45">
      <c r="A35" s="15"/>
      <c r="B35" s="15"/>
      <c r="C35" s="15"/>
      <c r="D35" s="15"/>
      <c r="E35" s="15"/>
    </row>
  </sheetData>
  <mergeCells count="5">
    <mergeCell ref="B1:I1"/>
    <mergeCell ref="B7:H7"/>
    <mergeCell ref="B15:H15"/>
    <mergeCell ref="B21:H21"/>
    <mergeCell ref="B29:H2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3F557-107D-4A5C-964D-37D1A3DA5018}">
  <dimension ref="A1:Q35"/>
  <sheetViews>
    <sheetView workbookViewId="0">
      <selection activeCell="E37" sqref="E37"/>
    </sheetView>
  </sheetViews>
  <sheetFormatPr baseColWidth="10" defaultRowHeight="14.25" x14ac:dyDescent="0.45"/>
  <cols>
    <col min="1" max="1" width="10.6640625" style="3"/>
    <col min="2" max="4" width="15.59765625" style="3" customWidth="1"/>
    <col min="5" max="17" width="10.6640625" style="3"/>
  </cols>
  <sheetData>
    <row r="1" spans="1:2" x14ac:dyDescent="0.45">
      <c r="A1" s="2"/>
      <c r="B1" s="1" t="s">
        <v>0</v>
      </c>
    </row>
    <row r="2" spans="1:2" x14ac:dyDescent="0.45">
      <c r="A2" s="1" t="s">
        <v>1</v>
      </c>
      <c r="B2" s="2">
        <v>64</v>
      </c>
    </row>
    <row r="3" spans="1:2" x14ac:dyDescent="0.45">
      <c r="A3" s="1" t="s">
        <v>2</v>
      </c>
      <c r="B3" s="2">
        <v>33</v>
      </c>
    </row>
    <row r="4" spans="1:2" x14ac:dyDescent="0.45">
      <c r="A4" s="1" t="s">
        <v>3</v>
      </c>
      <c r="B4" s="2">
        <v>0</v>
      </c>
    </row>
    <row r="5" spans="1:2" x14ac:dyDescent="0.45">
      <c r="A5" s="1" t="s">
        <v>4</v>
      </c>
      <c r="B5" s="2">
        <v>1</v>
      </c>
    </row>
    <row r="6" spans="1:2" x14ac:dyDescent="0.45">
      <c r="A6" s="1" t="s">
        <v>5</v>
      </c>
      <c r="B6" s="2">
        <f>SUM(B2:B5)</f>
        <v>98</v>
      </c>
    </row>
    <row r="29" spans="1:4" ht="124.9" x14ac:dyDescent="0.45">
      <c r="A29" s="4"/>
      <c r="B29" s="1" t="s">
        <v>6</v>
      </c>
      <c r="C29" s="1" t="s">
        <v>7</v>
      </c>
      <c r="D29" s="1" t="s">
        <v>8</v>
      </c>
    </row>
    <row r="30" spans="1:4" x14ac:dyDescent="0.45">
      <c r="A30" s="5" t="s">
        <v>1</v>
      </c>
      <c r="B30" s="6">
        <v>22</v>
      </c>
      <c r="C30" s="6">
        <v>9</v>
      </c>
      <c r="D30" s="6">
        <v>54</v>
      </c>
    </row>
    <row r="31" spans="1:4" x14ac:dyDescent="0.45">
      <c r="A31" s="5" t="s">
        <v>2</v>
      </c>
      <c r="B31" s="6">
        <v>6</v>
      </c>
      <c r="C31" s="6">
        <v>49</v>
      </c>
      <c r="D31" s="6">
        <v>4</v>
      </c>
    </row>
    <row r="32" spans="1:4" x14ac:dyDescent="0.45">
      <c r="A32" s="5" t="s">
        <v>3</v>
      </c>
      <c r="B32" s="6">
        <v>0</v>
      </c>
      <c r="C32" s="6">
        <v>40</v>
      </c>
      <c r="D32" s="6">
        <v>40</v>
      </c>
    </row>
    <row r="33" spans="1:4" x14ac:dyDescent="0.45">
      <c r="A33" s="5" t="s">
        <v>4</v>
      </c>
      <c r="B33" s="6">
        <v>34</v>
      </c>
      <c r="C33" s="6">
        <v>0</v>
      </c>
      <c r="D33" s="6">
        <v>0</v>
      </c>
    </row>
    <row r="34" spans="1:4" ht="55.9" x14ac:dyDescent="0.45">
      <c r="A34" s="7" t="s">
        <v>9</v>
      </c>
      <c r="B34" s="6">
        <v>36</v>
      </c>
      <c r="C34" s="6"/>
      <c r="D34" s="6"/>
    </row>
    <row r="35" spans="1:4" x14ac:dyDescent="0.45">
      <c r="A35" s="5" t="s">
        <v>5</v>
      </c>
      <c r="B35" s="8">
        <f>SUM(B30:B34)</f>
        <v>98</v>
      </c>
      <c r="C35" s="8">
        <f t="shared" ref="C35:D35" si="0">SUM(C30:C34)</f>
        <v>98</v>
      </c>
      <c r="D35" s="8">
        <f t="shared" si="0"/>
        <v>98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7E7E5-FB95-4631-B5E5-393E3C34B4C1}">
  <dimension ref="A1:P35"/>
  <sheetViews>
    <sheetView topLeftCell="A13" workbookViewId="0">
      <selection activeCell="L29" sqref="L29"/>
    </sheetView>
  </sheetViews>
  <sheetFormatPr baseColWidth="10" defaultRowHeight="14.25" x14ac:dyDescent="0.45"/>
  <cols>
    <col min="1" max="1" width="12.86328125" style="3" customWidth="1"/>
    <col min="2" max="4" width="15.59765625" style="3" customWidth="1"/>
    <col min="5" max="7" width="10.6640625" style="3"/>
    <col min="8" max="8" width="21" style="3" bestFit="1" customWidth="1"/>
    <col min="9" max="16" width="10.6640625" style="3"/>
  </cols>
  <sheetData>
    <row r="1" spans="1:2" x14ac:dyDescent="0.45">
      <c r="A1" s="2"/>
      <c r="B1" s="1" t="s">
        <v>0</v>
      </c>
    </row>
    <row r="2" spans="1:2" x14ac:dyDescent="0.45">
      <c r="A2" s="1" t="s">
        <v>1</v>
      </c>
      <c r="B2" s="2">
        <v>45</v>
      </c>
    </row>
    <row r="3" spans="1:2" x14ac:dyDescent="0.45">
      <c r="A3" s="1" t="s">
        <v>2</v>
      </c>
      <c r="B3" s="2">
        <v>17</v>
      </c>
    </row>
    <row r="4" spans="1:2" x14ac:dyDescent="0.45">
      <c r="A4" s="1" t="s">
        <v>3</v>
      </c>
      <c r="B4" s="2">
        <v>0</v>
      </c>
    </row>
    <row r="5" spans="1:2" x14ac:dyDescent="0.45">
      <c r="A5" s="1" t="s">
        <v>4</v>
      </c>
      <c r="B5" s="2">
        <v>0</v>
      </c>
    </row>
    <row r="6" spans="1:2" x14ac:dyDescent="0.45">
      <c r="A6" s="1" t="s">
        <v>5</v>
      </c>
      <c r="B6" s="2">
        <f>SUM(B2:B5)</f>
        <v>62</v>
      </c>
    </row>
    <row r="29" spans="1:12" ht="124.9" x14ac:dyDescent="0.45">
      <c r="A29" s="4"/>
      <c r="B29" s="1" t="s">
        <v>21</v>
      </c>
      <c r="C29" s="1" t="s">
        <v>20</v>
      </c>
      <c r="D29" s="1"/>
      <c r="H29" s="23" t="s">
        <v>15</v>
      </c>
      <c r="I29" s="24"/>
      <c r="L29" s="1" t="s">
        <v>19</v>
      </c>
    </row>
    <row r="30" spans="1:12" x14ac:dyDescent="0.45">
      <c r="A30" s="5" t="s">
        <v>1</v>
      </c>
      <c r="B30" s="6">
        <v>21</v>
      </c>
      <c r="C30" s="6">
        <v>18</v>
      </c>
      <c r="D30" s="6"/>
      <c r="H30" s="2" t="s">
        <v>11</v>
      </c>
      <c r="I30" s="2">
        <v>9</v>
      </c>
      <c r="K30" s="2" t="s">
        <v>16</v>
      </c>
      <c r="L30" s="2">
        <v>13</v>
      </c>
    </row>
    <row r="31" spans="1:12" x14ac:dyDescent="0.45">
      <c r="A31" s="5" t="s">
        <v>2</v>
      </c>
      <c r="B31" s="6">
        <v>41</v>
      </c>
      <c r="C31" s="6">
        <v>9</v>
      </c>
      <c r="D31" s="6"/>
      <c r="H31" s="2" t="s">
        <v>12</v>
      </c>
      <c r="I31" s="2">
        <v>6</v>
      </c>
      <c r="K31" s="2" t="s">
        <v>17</v>
      </c>
      <c r="L31" s="2">
        <v>31</v>
      </c>
    </row>
    <row r="32" spans="1:12" x14ac:dyDescent="0.45">
      <c r="A32" s="10" t="s">
        <v>10</v>
      </c>
      <c r="B32" s="6">
        <v>0</v>
      </c>
      <c r="C32" s="6">
        <v>18</v>
      </c>
      <c r="H32" s="2" t="s">
        <v>13</v>
      </c>
      <c r="I32" s="2">
        <v>11</v>
      </c>
      <c r="K32" s="2" t="s">
        <v>18</v>
      </c>
      <c r="L32" s="2">
        <v>18</v>
      </c>
    </row>
    <row r="33" spans="1:12" x14ac:dyDescent="0.45">
      <c r="A33" s="5" t="s">
        <v>4</v>
      </c>
      <c r="B33" s="6">
        <v>0</v>
      </c>
      <c r="C33" s="6">
        <v>17</v>
      </c>
      <c r="D33" s="6"/>
      <c r="H33" s="2" t="s">
        <v>14</v>
      </c>
      <c r="I33" s="2">
        <v>36</v>
      </c>
    </row>
    <row r="34" spans="1:12" ht="42" x14ac:dyDescent="0.45">
      <c r="A34" s="7" t="s">
        <v>9</v>
      </c>
      <c r="B34" s="6">
        <v>0</v>
      </c>
      <c r="C34" s="6"/>
      <c r="D34" s="6"/>
      <c r="I34" s="3">
        <f>SUM(I30:I33)</f>
        <v>62</v>
      </c>
      <c r="L34" s="3">
        <f>SUM(L30:L32)</f>
        <v>62</v>
      </c>
    </row>
    <row r="35" spans="1:12" x14ac:dyDescent="0.45">
      <c r="A35" s="5" t="s">
        <v>5</v>
      </c>
      <c r="B35" s="8">
        <f>SUM(B30:B34)</f>
        <v>62</v>
      </c>
      <c r="C35" s="8">
        <f t="shared" ref="C35" si="0">SUM(C30:C34)</f>
        <v>62</v>
      </c>
      <c r="D35" s="8"/>
    </row>
  </sheetData>
  <mergeCells count="1">
    <mergeCell ref="H29:I29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B205B-39AA-429F-8383-C92A1E22E86F}">
  <dimension ref="A1:P35"/>
  <sheetViews>
    <sheetView topLeftCell="A7" workbookViewId="0">
      <selection activeCell="L30" sqref="L30:L32"/>
    </sheetView>
  </sheetViews>
  <sheetFormatPr baseColWidth="10" defaultRowHeight="14.25" x14ac:dyDescent="0.45"/>
  <cols>
    <col min="1" max="1" width="12.86328125" style="3" customWidth="1"/>
    <col min="2" max="4" width="15.59765625" style="3" customWidth="1"/>
    <col min="5" max="7" width="10.6640625" style="3"/>
    <col min="8" max="8" width="21" style="3" bestFit="1" customWidth="1"/>
    <col min="9" max="16" width="10.6640625" style="3"/>
  </cols>
  <sheetData>
    <row r="1" spans="1:2" x14ac:dyDescent="0.45">
      <c r="A1" s="2"/>
      <c r="B1" s="1" t="s">
        <v>0</v>
      </c>
    </row>
    <row r="2" spans="1:2" x14ac:dyDescent="0.45">
      <c r="A2" s="1" t="s">
        <v>1</v>
      </c>
      <c r="B2" s="2">
        <v>35</v>
      </c>
    </row>
    <row r="3" spans="1:2" x14ac:dyDescent="0.45">
      <c r="A3" s="1" t="s">
        <v>2</v>
      </c>
      <c r="B3" s="2">
        <v>10</v>
      </c>
    </row>
    <row r="4" spans="1:2" x14ac:dyDescent="0.45">
      <c r="A4" s="1" t="s">
        <v>3</v>
      </c>
      <c r="B4" s="2">
        <v>0</v>
      </c>
    </row>
    <row r="5" spans="1:2" x14ac:dyDescent="0.45">
      <c r="A5" s="1" t="s">
        <v>4</v>
      </c>
      <c r="B5" s="2">
        <v>0</v>
      </c>
    </row>
    <row r="6" spans="1:2" x14ac:dyDescent="0.45">
      <c r="A6" s="1" t="s">
        <v>5</v>
      </c>
      <c r="B6" s="2">
        <f>SUM(B2:B5)</f>
        <v>45</v>
      </c>
    </row>
    <row r="29" spans="1:12" ht="124.9" x14ac:dyDescent="0.45">
      <c r="A29" s="4"/>
      <c r="B29" s="1" t="s">
        <v>21</v>
      </c>
      <c r="C29" s="1" t="s">
        <v>20</v>
      </c>
      <c r="D29" s="1"/>
      <c r="H29" s="23" t="s">
        <v>15</v>
      </c>
      <c r="I29" s="24"/>
      <c r="L29" s="1" t="s">
        <v>19</v>
      </c>
    </row>
    <row r="30" spans="1:12" x14ac:dyDescent="0.45">
      <c r="A30" s="5" t="s">
        <v>1</v>
      </c>
      <c r="B30" s="6">
        <v>9</v>
      </c>
      <c r="C30" s="6">
        <v>8</v>
      </c>
      <c r="D30" s="6"/>
      <c r="H30" s="2" t="s">
        <v>11</v>
      </c>
      <c r="I30" s="2">
        <v>4</v>
      </c>
      <c r="K30" s="2" t="s">
        <v>16</v>
      </c>
      <c r="L30" s="2">
        <v>9</v>
      </c>
    </row>
    <row r="31" spans="1:12" x14ac:dyDescent="0.45">
      <c r="A31" s="5" t="s">
        <v>2</v>
      </c>
      <c r="B31" s="6">
        <v>36</v>
      </c>
      <c r="C31" s="6">
        <v>6</v>
      </c>
      <c r="D31" s="6"/>
      <c r="H31" s="2" t="s">
        <v>12</v>
      </c>
      <c r="I31" s="2">
        <v>3</v>
      </c>
      <c r="K31" s="2" t="s">
        <v>17</v>
      </c>
      <c r="L31" s="2">
        <v>25</v>
      </c>
    </row>
    <row r="32" spans="1:12" x14ac:dyDescent="0.45">
      <c r="A32" s="10" t="s">
        <v>10</v>
      </c>
      <c r="B32" s="6">
        <v>0</v>
      </c>
      <c r="C32" s="6">
        <v>21</v>
      </c>
      <c r="H32" s="2" t="s">
        <v>13</v>
      </c>
      <c r="I32" s="2">
        <v>12</v>
      </c>
      <c r="K32" s="2" t="s">
        <v>18</v>
      </c>
      <c r="L32" s="2">
        <v>11</v>
      </c>
    </row>
    <row r="33" spans="1:12" x14ac:dyDescent="0.45">
      <c r="A33" s="5" t="s">
        <v>4</v>
      </c>
      <c r="B33" s="6">
        <v>0</v>
      </c>
      <c r="C33" s="6">
        <v>10</v>
      </c>
      <c r="D33" s="6"/>
      <c r="H33" s="2" t="s">
        <v>14</v>
      </c>
      <c r="I33" s="2">
        <v>26</v>
      </c>
    </row>
    <row r="34" spans="1:12" ht="42" x14ac:dyDescent="0.45">
      <c r="A34" s="7" t="s">
        <v>9</v>
      </c>
      <c r="B34" s="6">
        <v>0</v>
      </c>
      <c r="C34" s="6"/>
      <c r="D34" s="6"/>
      <c r="I34" s="3">
        <f>SUM(I30:I33)</f>
        <v>45</v>
      </c>
      <c r="L34" s="3">
        <f>SUM(L30:L32)</f>
        <v>45</v>
      </c>
    </row>
    <row r="35" spans="1:12" x14ac:dyDescent="0.45">
      <c r="A35" s="5" t="s">
        <v>5</v>
      </c>
      <c r="B35" s="8">
        <f>SUM(B30:B34)</f>
        <v>45</v>
      </c>
      <c r="C35" s="8">
        <f t="shared" ref="C35" si="0">SUM(C30:C34)</f>
        <v>45</v>
      </c>
      <c r="D35" s="8"/>
    </row>
  </sheetData>
  <mergeCells count="1">
    <mergeCell ref="H29:I29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BB11-2953-4F9F-90C9-6B2027CDF0C2}">
  <dimension ref="A1:P35"/>
  <sheetViews>
    <sheetView topLeftCell="A7" workbookViewId="0">
      <selection activeCell="L30" sqref="L30:L32"/>
    </sheetView>
  </sheetViews>
  <sheetFormatPr baseColWidth="10" defaultRowHeight="14.25" x14ac:dyDescent="0.45"/>
  <cols>
    <col min="1" max="1" width="12.86328125" style="3" customWidth="1"/>
    <col min="2" max="4" width="15.59765625" style="3" customWidth="1"/>
    <col min="5" max="7" width="10.6640625" style="3"/>
    <col min="8" max="8" width="21" style="3" bestFit="1" customWidth="1"/>
    <col min="9" max="16" width="10.6640625" style="3"/>
  </cols>
  <sheetData>
    <row r="1" spans="1:2" x14ac:dyDescent="0.45">
      <c r="A1" s="2"/>
      <c r="B1" s="1" t="s">
        <v>0</v>
      </c>
    </row>
    <row r="2" spans="1:2" x14ac:dyDescent="0.45">
      <c r="A2" s="1" t="s">
        <v>1</v>
      </c>
      <c r="B2" s="2">
        <v>25</v>
      </c>
    </row>
    <row r="3" spans="1:2" x14ac:dyDescent="0.45">
      <c r="A3" s="1" t="s">
        <v>2</v>
      </c>
      <c r="B3" s="2">
        <v>20</v>
      </c>
    </row>
    <row r="4" spans="1:2" x14ac:dyDescent="0.45">
      <c r="A4" s="1" t="s">
        <v>3</v>
      </c>
      <c r="B4" s="2">
        <v>0</v>
      </c>
    </row>
    <row r="5" spans="1:2" x14ac:dyDescent="0.45">
      <c r="A5" s="1" t="s">
        <v>4</v>
      </c>
      <c r="B5" s="2">
        <v>0</v>
      </c>
    </row>
    <row r="6" spans="1:2" x14ac:dyDescent="0.45">
      <c r="A6" s="1" t="s">
        <v>5</v>
      </c>
      <c r="B6" s="2">
        <f>SUM(B2:B5)</f>
        <v>45</v>
      </c>
    </row>
    <row r="29" spans="1:12" ht="124.9" x14ac:dyDescent="0.45">
      <c r="A29" s="4"/>
      <c r="B29" s="1" t="s">
        <v>21</v>
      </c>
      <c r="C29" s="1" t="s">
        <v>20</v>
      </c>
      <c r="D29" s="1"/>
      <c r="H29" s="23" t="s">
        <v>15</v>
      </c>
      <c r="I29" s="24"/>
      <c r="L29" s="1" t="s">
        <v>19</v>
      </c>
    </row>
    <row r="30" spans="1:12" x14ac:dyDescent="0.45">
      <c r="A30" s="5" t="s">
        <v>1</v>
      </c>
      <c r="B30" s="6">
        <v>6</v>
      </c>
      <c r="C30" s="6">
        <v>1</v>
      </c>
      <c r="D30" s="6"/>
      <c r="H30" s="2" t="s">
        <v>11</v>
      </c>
      <c r="I30" s="2">
        <v>7</v>
      </c>
      <c r="K30" s="2" t="s">
        <v>16</v>
      </c>
      <c r="L30" s="2">
        <v>22</v>
      </c>
    </row>
    <row r="31" spans="1:12" x14ac:dyDescent="0.45">
      <c r="A31" s="5" t="s">
        <v>2</v>
      </c>
      <c r="B31" s="6">
        <v>39</v>
      </c>
      <c r="C31" s="6">
        <v>6</v>
      </c>
      <c r="D31" s="6"/>
      <c r="H31" s="2" t="s">
        <v>12</v>
      </c>
      <c r="I31" s="2">
        <v>4</v>
      </c>
      <c r="K31" s="2" t="s">
        <v>17</v>
      </c>
      <c r="L31" s="2">
        <v>15</v>
      </c>
    </row>
    <row r="32" spans="1:12" x14ac:dyDescent="0.45">
      <c r="A32" s="10" t="s">
        <v>10</v>
      </c>
      <c r="B32" s="6">
        <v>0</v>
      </c>
      <c r="C32" s="6">
        <v>18</v>
      </c>
      <c r="H32" s="2" t="s">
        <v>13</v>
      </c>
      <c r="I32" s="2">
        <v>12</v>
      </c>
      <c r="K32" s="2" t="s">
        <v>18</v>
      </c>
      <c r="L32" s="2">
        <v>8</v>
      </c>
    </row>
    <row r="33" spans="1:12" x14ac:dyDescent="0.45">
      <c r="A33" s="5" t="s">
        <v>4</v>
      </c>
      <c r="B33" s="6">
        <v>0</v>
      </c>
      <c r="C33" s="6">
        <v>20</v>
      </c>
      <c r="D33" s="6"/>
      <c r="H33" s="2" t="s">
        <v>14</v>
      </c>
      <c r="I33" s="2">
        <v>22</v>
      </c>
    </row>
    <row r="34" spans="1:12" ht="42" x14ac:dyDescent="0.45">
      <c r="A34" s="7" t="s">
        <v>9</v>
      </c>
      <c r="B34" s="6">
        <v>0</v>
      </c>
      <c r="C34" s="6"/>
      <c r="D34" s="6"/>
      <c r="I34" s="3">
        <f>SUM(I30:I33)</f>
        <v>45</v>
      </c>
      <c r="L34" s="3">
        <f>SUM(L30:L32)</f>
        <v>45</v>
      </c>
    </row>
    <row r="35" spans="1:12" x14ac:dyDescent="0.45">
      <c r="A35" s="5" t="s">
        <v>5</v>
      </c>
      <c r="B35" s="8">
        <f>SUM(B30:B34)</f>
        <v>45</v>
      </c>
      <c r="C35" s="8">
        <f t="shared" ref="C35" si="0">SUM(C30:C34)</f>
        <v>45</v>
      </c>
      <c r="D35" s="8"/>
    </row>
  </sheetData>
  <mergeCells count="1">
    <mergeCell ref="H29:I29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6449E-9154-4396-8D53-44222E558280}">
  <dimension ref="A1:P35"/>
  <sheetViews>
    <sheetView topLeftCell="A4" workbookViewId="0">
      <selection activeCell="L30" sqref="L30:L32"/>
    </sheetView>
  </sheetViews>
  <sheetFormatPr baseColWidth="10" defaultRowHeight="14.25" x14ac:dyDescent="0.45"/>
  <cols>
    <col min="1" max="1" width="12.86328125" style="3" customWidth="1"/>
    <col min="2" max="4" width="15.59765625" style="3" customWidth="1"/>
    <col min="5" max="7" width="10.6640625" style="3"/>
    <col min="8" max="8" width="21" style="3" bestFit="1" customWidth="1"/>
    <col min="9" max="16" width="10.6640625" style="3"/>
  </cols>
  <sheetData>
    <row r="1" spans="1:2" x14ac:dyDescent="0.45">
      <c r="A1" s="2"/>
      <c r="B1" s="1" t="s">
        <v>0</v>
      </c>
    </row>
    <row r="2" spans="1:2" x14ac:dyDescent="0.45">
      <c r="A2" s="1" t="s">
        <v>1</v>
      </c>
      <c r="B2" s="2">
        <v>5</v>
      </c>
    </row>
    <row r="3" spans="1:2" x14ac:dyDescent="0.45">
      <c r="A3" s="1" t="s">
        <v>2</v>
      </c>
      <c r="B3" s="2">
        <v>5</v>
      </c>
    </row>
    <row r="4" spans="1:2" x14ac:dyDescent="0.45">
      <c r="A4" s="1" t="s">
        <v>3</v>
      </c>
      <c r="B4" s="2">
        <v>0</v>
      </c>
    </row>
    <row r="5" spans="1:2" x14ac:dyDescent="0.45">
      <c r="A5" s="1" t="s">
        <v>4</v>
      </c>
      <c r="B5" s="2">
        <v>0</v>
      </c>
    </row>
    <row r="6" spans="1:2" x14ac:dyDescent="0.45">
      <c r="A6" s="1" t="s">
        <v>5</v>
      </c>
      <c r="B6" s="2">
        <f>SUM(B2:B5)</f>
        <v>10</v>
      </c>
    </row>
    <row r="29" spans="1:12" ht="124.9" x14ac:dyDescent="0.45">
      <c r="A29" s="4"/>
      <c r="B29" s="1" t="s">
        <v>21</v>
      </c>
      <c r="C29" s="1" t="s">
        <v>20</v>
      </c>
      <c r="D29" s="1"/>
      <c r="H29" s="23" t="s">
        <v>15</v>
      </c>
      <c r="I29" s="24"/>
      <c r="L29" s="1" t="s">
        <v>19</v>
      </c>
    </row>
    <row r="30" spans="1:12" x14ac:dyDescent="0.45">
      <c r="A30" s="5" t="s">
        <v>1</v>
      </c>
      <c r="B30" s="6">
        <v>2</v>
      </c>
      <c r="C30" s="6">
        <v>1</v>
      </c>
      <c r="D30" s="6"/>
      <c r="H30" s="2" t="s">
        <v>11</v>
      </c>
      <c r="I30" s="2">
        <v>2</v>
      </c>
      <c r="K30" s="2" t="s">
        <v>16</v>
      </c>
      <c r="L30" s="2">
        <v>3</v>
      </c>
    </row>
    <row r="31" spans="1:12" x14ac:dyDescent="0.45">
      <c r="A31" s="5" t="s">
        <v>2</v>
      </c>
      <c r="B31" s="6">
        <v>8</v>
      </c>
      <c r="C31" s="6">
        <v>0</v>
      </c>
      <c r="D31" s="6"/>
      <c r="H31" s="2" t="s">
        <v>12</v>
      </c>
      <c r="I31" s="2">
        <v>2</v>
      </c>
      <c r="K31" s="2" t="s">
        <v>17</v>
      </c>
      <c r="L31" s="2">
        <v>6</v>
      </c>
    </row>
    <row r="32" spans="1:12" x14ac:dyDescent="0.45">
      <c r="A32" s="10" t="s">
        <v>10</v>
      </c>
      <c r="B32" s="6">
        <v>0</v>
      </c>
      <c r="C32" s="6">
        <v>4</v>
      </c>
      <c r="H32" s="2" t="s">
        <v>13</v>
      </c>
      <c r="I32" s="2">
        <v>1</v>
      </c>
      <c r="K32" s="2" t="s">
        <v>18</v>
      </c>
      <c r="L32" s="2">
        <v>1</v>
      </c>
    </row>
    <row r="33" spans="1:12" x14ac:dyDescent="0.45">
      <c r="A33" s="5" t="s">
        <v>4</v>
      </c>
      <c r="B33" s="6">
        <v>0</v>
      </c>
      <c r="C33" s="6">
        <v>5</v>
      </c>
      <c r="D33" s="6"/>
      <c r="H33" s="2" t="s">
        <v>14</v>
      </c>
      <c r="I33" s="2">
        <v>5</v>
      </c>
    </row>
    <row r="34" spans="1:12" ht="42" x14ac:dyDescent="0.45">
      <c r="A34" s="7" t="s">
        <v>9</v>
      </c>
      <c r="B34" s="6">
        <v>0</v>
      </c>
      <c r="C34" s="6"/>
      <c r="D34" s="6"/>
      <c r="I34" s="3">
        <f>SUM(I30:I33)</f>
        <v>10</v>
      </c>
      <c r="L34" s="3">
        <f>SUM(L30:L32)</f>
        <v>10</v>
      </c>
    </row>
    <row r="35" spans="1:12" x14ac:dyDescent="0.45">
      <c r="A35" s="5" t="s">
        <v>5</v>
      </c>
      <c r="B35" s="8">
        <f>SUM(B30:B34)</f>
        <v>10</v>
      </c>
      <c r="C35" s="8">
        <f t="shared" ref="C35" si="0">SUM(C30:C34)</f>
        <v>10</v>
      </c>
      <c r="D35" s="8"/>
    </row>
  </sheetData>
  <mergeCells count="1">
    <mergeCell ref="H29:I29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1453D-2C82-4678-8F58-33B093ACA4B9}">
  <dimension ref="A1:P35"/>
  <sheetViews>
    <sheetView topLeftCell="A7" workbookViewId="0">
      <selection activeCell="F34" sqref="F34"/>
    </sheetView>
  </sheetViews>
  <sheetFormatPr baseColWidth="10" defaultRowHeight="14.25" x14ac:dyDescent="0.45"/>
  <cols>
    <col min="1" max="1" width="12.86328125" style="3" customWidth="1"/>
    <col min="2" max="4" width="15.59765625" style="3" customWidth="1"/>
    <col min="5" max="7" width="10.6640625" style="3"/>
    <col min="8" max="8" width="21" style="3" bestFit="1" customWidth="1"/>
    <col min="9" max="16" width="10.6640625" style="3"/>
  </cols>
  <sheetData>
    <row r="1" spans="1:2" x14ac:dyDescent="0.45">
      <c r="A1" s="2"/>
      <c r="B1" s="1" t="s">
        <v>0</v>
      </c>
    </row>
    <row r="2" spans="1:2" x14ac:dyDescent="0.45">
      <c r="A2" s="1" t="s">
        <v>1</v>
      </c>
      <c r="B2" s="2">
        <v>20</v>
      </c>
    </row>
    <row r="3" spans="1:2" x14ac:dyDescent="0.45">
      <c r="A3" s="1" t="s">
        <v>2</v>
      </c>
      <c r="B3" s="2">
        <v>16</v>
      </c>
    </row>
    <row r="4" spans="1:2" x14ac:dyDescent="0.45">
      <c r="A4" s="1" t="s">
        <v>3</v>
      </c>
      <c r="B4" s="2">
        <v>0</v>
      </c>
    </row>
    <row r="5" spans="1:2" x14ac:dyDescent="0.45">
      <c r="A5" s="1" t="s">
        <v>4</v>
      </c>
      <c r="B5" s="2">
        <v>0</v>
      </c>
    </row>
    <row r="6" spans="1:2" x14ac:dyDescent="0.45">
      <c r="A6" s="1" t="s">
        <v>5</v>
      </c>
      <c r="B6" s="2">
        <f>SUM(B2:B5)</f>
        <v>36</v>
      </c>
    </row>
    <row r="29" spans="1:12" ht="124.9" x14ac:dyDescent="0.45">
      <c r="A29" s="4"/>
      <c r="B29" s="1" t="s">
        <v>21</v>
      </c>
      <c r="C29" s="1" t="s">
        <v>20</v>
      </c>
      <c r="D29" s="1"/>
      <c r="H29" s="23" t="s">
        <v>15</v>
      </c>
      <c r="I29" s="24"/>
      <c r="L29" s="1" t="s">
        <v>19</v>
      </c>
    </row>
    <row r="30" spans="1:12" x14ac:dyDescent="0.45">
      <c r="A30" s="5" t="s">
        <v>1</v>
      </c>
      <c r="B30" s="6">
        <v>5</v>
      </c>
      <c r="C30" s="6">
        <v>5</v>
      </c>
      <c r="D30" s="6"/>
      <c r="H30" s="2" t="s">
        <v>11</v>
      </c>
      <c r="I30" s="2">
        <v>2</v>
      </c>
      <c r="K30" s="2" t="s">
        <v>16</v>
      </c>
      <c r="L30" s="2">
        <v>17</v>
      </c>
    </row>
    <row r="31" spans="1:12" x14ac:dyDescent="0.45">
      <c r="A31" s="5" t="s">
        <v>2</v>
      </c>
      <c r="B31" s="6">
        <v>31</v>
      </c>
      <c r="C31" s="6">
        <v>2</v>
      </c>
      <c r="D31" s="6"/>
      <c r="H31" s="2" t="s">
        <v>12</v>
      </c>
      <c r="I31" s="2">
        <v>0</v>
      </c>
      <c r="K31" s="2" t="s">
        <v>17</v>
      </c>
      <c r="L31" s="2">
        <v>13</v>
      </c>
    </row>
    <row r="32" spans="1:12" x14ac:dyDescent="0.45">
      <c r="A32" s="10" t="s">
        <v>10</v>
      </c>
      <c r="B32" s="6">
        <v>0</v>
      </c>
      <c r="C32" s="6">
        <v>13</v>
      </c>
      <c r="H32" s="2" t="s">
        <v>13</v>
      </c>
      <c r="I32" s="2">
        <v>10</v>
      </c>
      <c r="K32" s="2" t="s">
        <v>18</v>
      </c>
      <c r="L32" s="2">
        <v>6</v>
      </c>
    </row>
    <row r="33" spans="1:12" x14ac:dyDescent="0.45">
      <c r="A33" s="5" t="s">
        <v>4</v>
      </c>
      <c r="B33" s="6">
        <v>0</v>
      </c>
      <c r="C33" s="6">
        <v>16</v>
      </c>
      <c r="D33" s="6"/>
      <c r="H33" s="2" t="s">
        <v>14</v>
      </c>
      <c r="I33" s="2">
        <v>24</v>
      </c>
    </row>
    <row r="34" spans="1:12" ht="42" x14ac:dyDescent="0.45">
      <c r="A34" s="7" t="s">
        <v>9</v>
      </c>
      <c r="B34" s="6">
        <v>0</v>
      </c>
      <c r="C34" s="6"/>
      <c r="D34" s="6"/>
      <c r="I34" s="3">
        <f>SUM(I30:I33)</f>
        <v>36</v>
      </c>
      <c r="L34" s="3">
        <f>SUM(L30:L32)</f>
        <v>36</v>
      </c>
    </row>
    <row r="35" spans="1:12" x14ac:dyDescent="0.45">
      <c r="A35" s="5" t="s">
        <v>5</v>
      </c>
      <c r="B35" s="8">
        <f>SUM(B30:B34)</f>
        <v>36</v>
      </c>
      <c r="C35" s="8">
        <f t="shared" ref="C35" si="0">SUM(C30:C34)</f>
        <v>36</v>
      </c>
      <c r="D35" s="8"/>
    </row>
  </sheetData>
  <mergeCells count="1">
    <mergeCell ref="H29:I29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07C93-E463-4754-942A-96C2B5834D8F}">
  <dimension ref="A1:P35"/>
  <sheetViews>
    <sheetView workbookViewId="0">
      <selection activeCell="B2" sqref="B2"/>
    </sheetView>
  </sheetViews>
  <sheetFormatPr baseColWidth="10" defaultRowHeight="14.25" x14ac:dyDescent="0.45"/>
  <cols>
    <col min="1" max="1" width="12.86328125" style="3" customWidth="1"/>
    <col min="2" max="4" width="15.59765625" style="3" customWidth="1"/>
    <col min="5" max="7" width="10.6640625" style="3"/>
    <col min="8" max="8" width="21" style="3" bestFit="1" customWidth="1"/>
    <col min="9" max="16" width="10.6640625" style="3"/>
  </cols>
  <sheetData>
    <row r="1" spans="1:2" x14ac:dyDescent="0.45">
      <c r="A1" s="2"/>
      <c r="B1" s="1" t="s">
        <v>0</v>
      </c>
    </row>
    <row r="2" spans="1:2" x14ac:dyDescent="0.45">
      <c r="A2" s="1" t="s">
        <v>1</v>
      </c>
      <c r="B2" s="2">
        <v>34</v>
      </c>
    </row>
    <row r="3" spans="1:2" x14ac:dyDescent="0.45">
      <c r="A3" s="1" t="s">
        <v>2</v>
      </c>
      <c r="B3" s="2">
        <v>15</v>
      </c>
    </row>
    <row r="4" spans="1:2" x14ac:dyDescent="0.45">
      <c r="A4" s="1" t="s">
        <v>3</v>
      </c>
      <c r="B4" s="2">
        <v>4</v>
      </c>
    </row>
    <row r="5" spans="1:2" x14ac:dyDescent="0.45">
      <c r="A5" s="1" t="s">
        <v>4</v>
      </c>
      <c r="B5" s="2">
        <v>0</v>
      </c>
    </row>
    <row r="6" spans="1:2" x14ac:dyDescent="0.45">
      <c r="A6" s="1" t="s">
        <v>5</v>
      </c>
      <c r="B6" s="2">
        <f>SUM(B2:B5)</f>
        <v>53</v>
      </c>
    </row>
    <row r="29" spans="1:12" ht="124.9" x14ac:dyDescent="0.45">
      <c r="A29" s="4"/>
      <c r="B29" s="1" t="s">
        <v>21</v>
      </c>
      <c r="C29" s="1" t="s">
        <v>20</v>
      </c>
      <c r="D29" s="1"/>
      <c r="H29" s="23" t="s">
        <v>15</v>
      </c>
      <c r="I29" s="24"/>
      <c r="L29" s="1" t="s">
        <v>19</v>
      </c>
    </row>
    <row r="30" spans="1:12" x14ac:dyDescent="0.45">
      <c r="A30" s="5" t="s">
        <v>1</v>
      </c>
      <c r="B30" s="6">
        <v>7</v>
      </c>
      <c r="C30" s="6">
        <v>6</v>
      </c>
      <c r="D30" s="6"/>
      <c r="H30" s="2" t="s">
        <v>11</v>
      </c>
      <c r="I30" s="2">
        <v>9</v>
      </c>
      <c r="K30" s="2" t="s">
        <v>16</v>
      </c>
      <c r="L30" s="2">
        <v>18</v>
      </c>
    </row>
    <row r="31" spans="1:12" x14ac:dyDescent="0.45">
      <c r="A31" s="5" t="s">
        <v>2</v>
      </c>
      <c r="B31" s="6">
        <v>42</v>
      </c>
      <c r="C31" s="6">
        <v>9</v>
      </c>
      <c r="D31" s="6"/>
      <c r="H31" s="2" t="s">
        <v>12</v>
      </c>
      <c r="I31" s="2">
        <v>4</v>
      </c>
      <c r="K31" s="2" t="s">
        <v>17</v>
      </c>
      <c r="L31" s="2">
        <v>30</v>
      </c>
    </row>
    <row r="32" spans="1:12" x14ac:dyDescent="0.45">
      <c r="A32" s="10" t="s">
        <v>10</v>
      </c>
      <c r="B32" s="6">
        <v>0</v>
      </c>
      <c r="C32" s="6">
        <v>19</v>
      </c>
      <c r="H32" s="2" t="s">
        <v>13</v>
      </c>
      <c r="I32" s="2">
        <v>10</v>
      </c>
      <c r="K32" s="2" t="s">
        <v>18</v>
      </c>
      <c r="L32" s="2">
        <v>1</v>
      </c>
    </row>
    <row r="33" spans="1:12" x14ac:dyDescent="0.45">
      <c r="A33" s="5" t="s">
        <v>4</v>
      </c>
      <c r="B33" s="6">
        <v>0</v>
      </c>
      <c r="C33" s="6">
        <v>15</v>
      </c>
      <c r="D33" s="6"/>
      <c r="H33" s="2" t="s">
        <v>14</v>
      </c>
      <c r="I33" s="2">
        <v>26</v>
      </c>
    </row>
    <row r="34" spans="1:12" ht="42" x14ac:dyDescent="0.45">
      <c r="A34" s="7" t="s">
        <v>9</v>
      </c>
      <c r="B34" s="6">
        <v>0</v>
      </c>
      <c r="C34" s="6"/>
      <c r="D34" s="6"/>
      <c r="I34" s="3">
        <f>SUM(I30:I33)</f>
        <v>49</v>
      </c>
      <c r="L34" s="3">
        <f>SUM(L30:L32)</f>
        <v>49</v>
      </c>
    </row>
    <row r="35" spans="1:12" x14ac:dyDescent="0.45">
      <c r="A35" s="5" t="s">
        <v>5</v>
      </c>
      <c r="B35" s="8">
        <f>SUM(B30:B34)</f>
        <v>49</v>
      </c>
      <c r="C35" s="8">
        <f t="shared" ref="C35" si="0">SUM(C30:C34)</f>
        <v>49</v>
      </c>
      <c r="D35" s="8"/>
    </row>
  </sheetData>
  <mergeCells count="1">
    <mergeCell ref="H29:I29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E4D71-6953-4F0B-8337-F36F60F5C17C}">
  <dimension ref="A1:P35"/>
  <sheetViews>
    <sheetView workbookViewId="0">
      <selection activeCell="C25" sqref="C25"/>
    </sheetView>
  </sheetViews>
  <sheetFormatPr baseColWidth="10" defaultRowHeight="14.25" x14ac:dyDescent="0.45"/>
  <cols>
    <col min="1" max="1" width="12.86328125" style="3" customWidth="1"/>
    <col min="2" max="4" width="15.59765625" style="3" customWidth="1"/>
    <col min="5" max="7" width="10.6640625" style="3"/>
    <col min="8" max="8" width="21" style="3" bestFit="1" customWidth="1"/>
    <col min="9" max="16" width="10.6640625" style="3"/>
  </cols>
  <sheetData>
    <row r="1" spans="1:2" x14ac:dyDescent="0.45">
      <c r="A1" s="2"/>
      <c r="B1" s="1" t="s">
        <v>0</v>
      </c>
    </row>
    <row r="2" spans="1:2" x14ac:dyDescent="0.45">
      <c r="A2" s="1" t="s">
        <v>1</v>
      </c>
      <c r="B2" s="2">
        <v>50</v>
      </c>
    </row>
    <row r="3" spans="1:2" x14ac:dyDescent="0.45">
      <c r="A3" s="1" t="s">
        <v>2</v>
      </c>
      <c r="B3" s="2">
        <v>22</v>
      </c>
    </row>
    <row r="4" spans="1:2" x14ac:dyDescent="0.45">
      <c r="A4" s="1" t="s">
        <v>3</v>
      </c>
      <c r="B4" s="2">
        <v>21</v>
      </c>
    </row>
    <row r="5" spans="1:2" x14ac:dyDescent="0.45">
      <c r="A5" s="1" t="s">
        <v>4</v>
      </c>
      <c r="B5" s="2">
        <v>0</v>
      </c>
    </row>
    <row r="6" spans="1:2" x14ac:dyDescent="0.45">
      <c r="A6" s="1" t="s">
        <v>5</v>
      </c>
      <c r="B6" s="2">
        <f>SUM(B2:B5)</f>
        <v>93</v>
      </c>
    </row>
    <row r="29" spans="1:12" ht="124.9" x14ac:dyDescent="0.45">
      <c r="A29" s="4"/>
      <c r="B29" s="1" t="s">
        <v>21</v>
      </c>
      <c r="C29" s="1" t="s">
        <v>20</v>
      </c>
      <c r="D29" s="1"/>
      <c r="H29" s="23" t="s">
        <v>15</v>
      </c>
      <c r="I29" s="24"/>
      <c r="L29" s="1" t="s">
        <v>19</v>
      </c>
    </row>
    <row r="30" spans="1:12" x14ac:dyDescent="0.45">
      <c r="A30" s="5" t="s">
        <v>1</v>
      </c>
      <c r="B30" s="6">
        <v>17</v>
      </c>
      <c r="C30" s="6">
        <v>14</v>
      </c>
      <c r="D30" s="6"/>
      <c r="H30" s="2" t="s">
        <v>11</v>
      </c>
      <c r="I30" s="2">
        <v>7</v>
      </c>
      <c r="K30" s="2" t="s">
        <v>16</v>
      </c>
      <c r="L30" s="2">
        <v>25</v>
      </c>
    </row>
    <row r="31" spans="1:12" x14ac:dyDescent="0.45">
      <c r="A31" s="5" t="s">
        <v>2</v>
      </c>
      <c r="B31" s="6">
        <v>55</v>
      </c>
      <c r="C31" s="6">
        <v>9</v>
      </c>
      <c r="D31" s="6"/>
      <c r="H31" s="2" t="s">
        <v>12</v>
      </c>
      <c r="I31" s="2">
        <v>5</v>
      </c>
      <c r="K31" s="2" t="s">
        <v>17</v>
      </c>
      <c r="L31" s="2">
        <v>29</v>
      </c>
    </row>
    <row r="32" spans="1:12" x14ac:dyDescent="0.45">
      <c r="A32" s="10" t="s">
        <v>10</v>
      </c>
      <c r="B32" s="6">
        <v>0</v>
      </c>
      <c r="C32" s="6">
        <v>27</v>
      </c>
      <c r="H32" s="2" t="s">
        <v>13</v>
      </c>
      <c r="I32" s="2">
        <v>12</v>
      </c>
      <c r="K32" s="2" t="s">
        <v>18</v>
      </c>
      <c r="L32" s="2">
        <v>18</v>
      </c>
    </row>
    <row r="33" spans="1:12" x14ac:dyDescent="0.45">
      <c r="A33" s="5" t="s">
        <v>4</v>
      </c>
      <c r="B33" s="6">
        <v>0</v>
      </c>
      <c r="C33" s="6">
        <v>22</v>
      </c>
      <c r="D33" s="6"/>
      <c r="H33" s="2" t="s">
        <v>14</v>
      </c>
      <c r="I33" s="2">
        <v>48</v>
      </c>
    </row>
    <row r="34" spans="1:12" ht="42" x14ac:dyDescent="0.45">
      <c r="A34" s="7" t="s">
        <v>9</v>
      </c>
      <c r="B34" s="6">
        <v>0</v>
      </c>
      <c r="C34" s="6"/>
      <c r="D34" s="6"/>
      <c r="I34" s="3">
        <f>SUM(I30:I33)</f>
        <v>72</v>
      </c>
      <c r="L34" s="3">
        <f>SUM(L30:L32)</f>
        <v>72</v>
      </c>
    </row>
    <row r="35" spans="1:12" x14ac:dyDescent="0.45">
      <c r="A35" s="5" t="s">
        <v>5</v>
      </c>
      <c r="B35" s="8">
        <f>SUM(B30:B34)</f>
        <v>72</v>
      </c>
      <c r="C35" s="8">
        <f t="shared" ref="C35" si="0">SUM(C30:C34)</f>
        <v>72</v>
      </c>
      <c r="D35" s="8"/>
    </row>
  </sheetData>
  <mergeCells count="1">
    <mergeCell ref="H29:I29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E15CF-B55E-4E4E-952A-F778727393D9}">
  <dimension ref="A1:P35"/>
  <sheetViews>
    <sheetView topLeftCell="A13" workbookViewId="0">
      <selection activeCell="C32" sqref="C32"/>
    </sheetView>
  </sheetViews>
  <sheetFormatPr baseColWidth="10" defaultRowHeight="14.25" x14ac:dyDescent="0.45"/>
  <cols>
    <col min="1" max="1" width="12.86328125" style="3" customWidth="1"/>
    <col min="2" max="4" width="15.59765625" style="3" customWidth="1"/>
    <col min="5" max="7" width="10.6640625" style="3"/>
    <col min="8" max="8" width="21" style="3" bestFit="1" customWidth="1"/>
    <col min="9" max="16" width="10.6640625" style="3"/>
  </cols>
  <sheetData>
    <row r="1" spans="1:2" x14ac:dyDescent="0.45">
      <c r="A1" s="2"/>
      <c r="B1" s="1" t="s">
        <v>0</v>
      </c>
    </row>
    <row r="2" spans="1:2" x14ac:dyDescent="0.45">
      <c r="A2" s="1" t="s">
        <v>1</v>
      </c>
      <c r="B2" s="2">
        <v>31</v>
      </c>
    </row>
    <row r="3" spans="1:2" x14ac:dyDescent="0.45">
      <c r="A3" s="1" t="s">
        <v>2</v>
      </c>
      <c r="B3" s="2">
        <v>11</v>
      </c>
    </row>
    <row r="4" spans="1:2" x14ac:dyDescent="0.45">
      <c r="A4" s="1" t="s">
        <v>3</v>
      </c>
      <c r="B4" s="2">
        <v>0</v>
      </c>
    </row>
    <row r="5" spans="1:2" x14ac:dyDescent="0.45">
      <c r="A5" s="1" t="s">
        <v>4</v>
      </c>
      <c r="B5" s="2">
        <v>0</v>
      </c>
    </row>
    <row r="6" spans="1:2" x14ac:dyDescent="0.45">
      <c r="A6" s="1" t="s">
        <v>5</v>
      </c>
      <c r="B6" s="2">
        <f>SUM(B2:B5)</f>
        <v>42</v>
      </c>
    </row>
    <row r="29" spans="1:12" ht="124.9" x14ac:dyDescent="0.45">
      <c r="A29" s="4"/>
      <c r="B29" s="1" t="s">
        <v>21</v>
      </c>
      <c r="C29" s="1" t="s">
        <v>20</v>
      </c>
      <c r="D29" s="1"/>
      <c r="H29" s="23" t="s">
        <v>15</v>
      </c>
      <c r="I29" s="24"/>
      <c r="L29" s="1" t="s">
        <v>19</v>
      </c>
    </row>
    <row r="30" spans="1:12" x14ac:dyDescent="0.45">
      <c r="A30" s="5" t="s">
        <v>1</v>
      </c>
      <c r="B30" s="6">
        <v>13</v>
      </c>
      <c r="C30" s="6">
        <v>13</v>
      </c>
      <c r="D30" s="6"/>
      <c r="H30" s="2" t="s">
        <v>11</v>
      </c>
      <c r="I30" s="2">
        <v>6</v>
      </c>
      <c r="K30" s="2" t="s">
        <v>16</v>
      </c>
      <c r="L30" s="2">
        <v>14</v>
      </c>
    </row>
    <row r="31" spans="1:12" x14ac:dyDescent="0.45">
      <c r="A31" s="5" t="s">
        <v>2</v>
      </c>
      <c r="B31" s="6">
        <v>29</v>
      </c>
      <c r="C31" s="6">
        <v>1</v>
      </c>
      <c r="D31" s="6"/>
      <c r="H31" s="2" t="s">
        <v>12</v>
      </c>
      <c r="I31" s="2">
        <v>3</v>
      </c>
      <c r="K31" s="2" t="s">
        <v>17</v>
      </c>
      <c r="L31" s="2">
        <v>13</v>
      </c>
    </row>
    <row r="32" spans="1:12" x14ac:dyDescent="0.45">
      <c r="A32" s="10" t="s">
        <v>10</v>
      </c>
      <c r="B32" s="6">
        <v>0</v>
      </c>
      <c r="C32" s="6">
        <v>17</v>
      </c>
      <c r="H32" s="2" t="s">
        <v>13</v>
      </c>
      <c r="I32" s="2">
        <v>7</v>
      </c>
      <c r="K32" s="2" t="s">
        <v>18</v>
      </c>
      <c r="L32" s="2">
        <v>15</v>
      </c>
    </row>
    <row r="33" spans="1:12" x14ac:dyDescent="0.45">
      <c r="A33" s="5" t="s">
        <v>4</v>
      </c>
      <c r="B33" s="6">
        <v>0</v>
      </c>
      <c r="C33" s="6">
        <v>11</v>
      </c>
      <c r="D33" s="6"/>
      <c r="H33" s="2" t="s">
        <v>14</v>
      </c>
      <c r="I33" s="2">
        <v>26</v>
      </c>
    </row>
    <row r="34" spans="1:12" ht="42" x14ac:dyDescent="0.45">
      <c r="A34" s="7" t="s">
        <v>9</v>
      </c>
      <c r="B34" s="6">
        <v>0</v>
      </c>
      <c r="C34" s="6"/>
      <c r="D34" s="6"/>
      <c r="I34" s="3">
        <f>SUM(I30:I33)</f>
        <v>42</v>
      </c>
      <c r="L34" s="3">
        <f>SUM(L30:L32)</f>
        <v>42</v>
      </c>
    </row>
    <row r="35" spans="1:12" x14ac:dyDescent="0.45">
      <c r="A35" s="5" t="s">
        <v>5</v>
      </c>
      <c r="B35" s="8">
        <f>SUM(B30:B34)</f>
        <v>42</v>
      </c>
      <c r="C35" s="8">
        <f t="shared" ref="C35" si="0">SUM(C30:C34)</f>
        <v>42</v>
      </c>
      <c r="D35" s="8"/>
    </row>
  </sheetData>
  <mergeCells count="1">
    <mergeCell ref="H29:I29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1EDD7-FD2E-41CD-869B-792C7768B42F}">
  <dimension ref="A1:P35"/>
  <sheetViews>
    <sheetView workbookViewId="0">
      <selection activeCell="B32" sqref="B32"/>
    </sheetView>
  </sheetViews>
  <sheetFormatPr baseColWidth="10" defaultRowHeight="14.25" x14ac:dyDescent="0.45"/>
  <cols>
    <col min="1" max="1" width="12.86328125" style="3" customWidth="1"/>
    <col min="2" max="4" width="15.59765625" style="3" customWidth="1"/>
    <col min="5" max="7" width="10.6640625" style="3"/>
    <col min="8" max="8" width="21" style="3" bestFit="1" customWidth="1"/>
    <col min="9" max="16" width="10.6640625" style="3"/>
  </cols>
  <sheetData>
    <row r="1" spans="1:2" x14ac:dyDescent="0.45">
      <c r="A1" s="2"/>
      <c r="B1" s="1" t="s">
        <v>0</v>
      </c>
    </row>
    <row r="2" spans="1:2" x14ac:dyDescent="0.45">
      <c r="A2" s="1" t="s">
        <v>1</v>
      </c>
      <c r="B2" s="2">
        <v>36</v>
      </c>
    </row>
    <row r="3" spans="1:2" x14ac:dyDescent="0.45">
      <c r="A3" s="1" t="s">
        <v>2</v>
      </c>
      <c r="B3" s="2">
        <v>19</v>
      </c>
    </row>
    <row r="4" spans="1:2" x14ac:dyDescent="0.45">
      <c r="A4" s="1" t="s">
        <v>3</v>
      </c>
      <c r="B4" s="2">
        <v>0</v>
      </c>
    </row>
    <row r="5" spans="1:2" x14ac:dyDescent="0.45">
      <c r="A5" s="1" t="s">
        <v>4</v>
      </c>
      <c r="B5" s="2">
        <v>0</v>
      </c>
    </row>
    <row r="6" spans="1:2" x14ac:dyDescent="0.45">
      <c r="A6" s="1" t="s">
        <v>5</v>
      </c>
      <c r="B6" s="2">
        <f>SUM(B2:B5)</f>
        <v>55</v>
      </c>
    </row>
    <row r="29" spans="1:12" ht="124.9" x14ac:dyDescent="0.45">
      <c r="A29" s="4"/>
      <c r="B29" s="1" t="s">
        <v>21</v>
      </c>
      <c r="C29" s="1" t="s">
        <v>20</v>
      </c>
      <c r="D29" s="1"/>
      <c r="H29" s="23" t="s">
        <v>15</v>
      </c>
      <c r="I29" s="24"/>
      <c r="L29" s="1" t="s">
        <v>19</v>
      </c>
    </row>
    <row r="30" spans="1:12" x14ac:dyDescent="0.45">
      <c r="A30" s="5" t="s">
        <v>1</v>
      </c>
      <c r="B30" s="6">
        <v>14</v>
      </c>
      <c r="C30" s="6">
        <v>15</v>
      </c>
      <c r="D30" s="6"/>
      <c r="H30" s="2" t="s">
        <v>11</v>
      </c>
      <c r="I30" s="2">
        <v>10</v>
      </c>
      <c r="K30" s="2" t="s">
        <v>16</v>
      </c>
      <c r="L30" s="2">
        <v>24</v>
      </c>
    </row>
    <row r="31" spans="1:12" x14ac:dyDescent="0.45">
      <c r="A31" s="5" t="s">
        <v>2</v>
      </c>
      <c r="B31" s="6">
        <v>41</v>
      </c>
      <c r="C31" s="6">
        <v>4</v>
      </c>
      <c r="D31" s="6"/>
      <c r="H31" s="2" t="s">
        <v>12</v>
      </c>
      <c r="I31" s="2">
        <v>7</v>
      </c>
      <c r="K31" s="2" t="s">
        <v>17</v>
      </c>
      <c r="L31" s="2">
        <v>22</v>
      </c>
    </row>
    <row r="32" spans="1:12" x14ac:dyDescent="0.45">
      <c r="A32" s="10" t="s">
        <v>10</v>
      </c>
      <c r="B32" s="6">
        <v>0</v>
      </c>
      <c r="C32" s="6">
        <v>17</v>
      </c>
      <c r="H32" s="2" t="s">
        <v>13</v>
      </c>
      <c r="I32" s="2">
        <v>7</v>
      </c>
      <c r="K32" s="2" t="s">
        <v>18</v>
      </c>
      <c r="L32" s="2">
        <v>9</v>
      </c>
    </row>
    <row r="33" spans="1:12" x14ac:dyDescent="0.45">
      <c r="A33" s="5" t="s">
        <v>4</v>
      </c>
      <c r="B33" s="6">
        <v>0</v>
      </c>
      <c r="C33" s="6">
        <v>19</v>
      </c>
      <c r="D33" s="6"/>
      <c r="H33" s="2" t="s">
        <v>14</v>
      </c>
      <c r="I33" s="2">
        <v>31</v>
      </c>
    </row>
    <row r="34" spans="1:12" ht="42" x14ac:dyDescent="0.45">
      <c r="A34" s="7" t="s">
        <v>9</v>
      </c>
      <c r="B34" s="6">
        <v>0</v>
      </c>
      <c r="C34" s="6"/>
      <c r="D34" s="6"/>
      <c r="I34" s="3">
        <f>SUM(I30:I33)</f>
        <v>55</v>
      </c>
      <c r="L34" s="3">
        <f>SUM(L30:L32)</f>
        <v>55</v>
      </c>
    </row>
    <row r="35" spans="1:12" x14ac:dyDescent="0.45">
      <c r="A35" s="5" t="s">
        <v>5</v>
      </c>
      <c r="B35" s="8">
        <f>SUM(B30:B34)</f>
        <v>55</v>
      </c>
      <c r="C35" s="8">
        <f t="shared" ref="C35" si="0">SUM(C30:C34)</f>
        <v>55</v>
      </c>
      <c r="D35" s="8"/>
    </row>
  </sheetData>
  <mergeCells count="1">
    <mergeCell ref="H29:I29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E7124-D2F7-407D-AF00-3850F96DF102}">
  <dimension ref="A1:P35"/>
  <sheetViews>
    <sheetView workbookViewId="0">
      <selection activeCell="C34" sqref="C34"/>
    </sheetView>
  </sheetViews>
  <sheetFormatPr baseColWidth="10" defaultRowHeight="14.25" x14ac:dyDescent="0.45"/>
  <cols>
    <col min="1" max="1" width="12.86328125" style="3" customWidth="1"/>
    <col min="2" max="4" width="15.59765625" style="3" customWidth="1"/>
    <col min="5" max="7" width="10.6640625" style="3"/>
    <col min="8" max="8" width="21" style="3" bestFit="1" customWidth="1"/>
    <col min="9" max="16" width="10.6640625" style="3"/>
  </cols>
  <sheetData>
    <row r="1" spans="1:2" x14ac:dyDescent="0.45">
      <c r="A1" s="2"/>
      <c r="B1" s="1" t="s">
        <v>0</v>
      </c>
    </row>
    <row r="2" spans="1:2" x14ac:dyDescent="0.45">
      <c r="A2" s="1" t="s">
        <v>1</v>
      </c>
      <c r="B2" s="2">
        <v>23</v>
      </c>
    </row>
    <row r="3" spans="1:2" x14ac:dyDescent="0.45">
      <c r="A3" s="1" t="s">
        <v>2</v>
      </c>
      <c r="B3" s="2">
        <v>18</v>
      </c>
    </row>
    <row r="4" spans="1:2" x14ac:dyDescent="0.45">
      <c r="A4" s="1" t="s">
        <v>3</v>
      </c>
      <c r="B4" s="2">
        <v>0</v>
      </c>
    </row>
    <row r="5" spans="1:2" x14ac:dyDescent="0.45">
      <c r="A5" s="1" t="s">
        <v>4</v>
      </c>
      <c r="B5" s="2">
        <v>0</v>
      </c>
    </row>
    <row r="6" spans="1:2" x14ac:dyDescent="0.45">
      <c r="A6" s="1" t="s">
        <v>5</v>
      </c>
      <c r="B6" s="2">
        <f>SUM(B2:B5)</f>
        <v>41</v>
      </c>
    </row>
    <row r="29" spans="1:12" ht="124.9" x14ac:dyDescent="0.45">
      <c r="A29" s="4"/>
      <c r="B29" s="1" t="s">
        <v>21</v>
      </c>
      <c r="C29" s="1" t="s">
        <v>20</v>
      </c>
      <c r="D29" s="1"/>
      <c r="H29" s="23" t="s">
        <v>15</v>
      </c>
      <c r="I29" s="24"/>
      <c r="L29" s="1" t="s">
        <v>19</v>
      </c>
    </row>
    <row r="30" spans="1:12" x14ac:dyDescent="0.45">
      <c r="A30" s="5" t="s">
        <v>1</v>
      </c>
      <c r="B30" s="6">
        <v>7</v>
      </c>
      <c r="C30" s="6">
        <v>4</v>
      </c>
      <c r="D30" s="6"/>
      <c r="H30" s="2" t="s">
        <v>11</v>
      </c>
      <c r="I30" s="2">
        <v>11</v>
      </c>
      <c r="K30" s="2" t="s">
        <v>16</v>
      </c>
      <c r="L30" s="2">
        <v>13</v>
      </c>
    </row>
    <row r="31" spans="1:12" x14ac:dyDescent="0.45">
      <c r="A31" s="5" t="s">
        <v>2</v>
      </c>
      <c r="B31" s="6">
        <v>34</v>
      </c>
      <c r="C31" s="6">
        <v>9</v>
      </c>
      <c r="D31" s="6"/>
      <c r="H31" s="2" t="s">
        <v>12</v>
      </c>
      <c r="I31" s="2">
        <v>2</v>
      </c>
      <c r="K31" s="2" t="s">
        <v>17</v>
      </c>
      <c r="L31" s="2">
        <v>19</v>
      </c>
    </row>
    <row r="32" spans="1:12" x14ac:dyDescent="0.45">
      <c r="A32" s="10" t="s">
        <v>10</v>
      </c>
      <c r="B32" s="6">
        <v>0</v>
      </c>
      <c r="C32" s="6">
        <v>10</v>
      </c>
      <c r="H32" s="2" t="s">
        <v>13</v>
      </c>
      <c r="I32" s="2">
        <v>6</v>
      </c>
      <c r="K32" s="2" t="s">
        <v>18</v>
      </c>
      <c r="L32" s="2">
        <v>9</v>
      </c>
    </row>
    <row r="33" spans="1:12" x14ac:dyDescent="0.45">
      <c r="A33" s="5" t="s">
        <v>4</v>
      </c>
      <c r="B33" s="6">
        <v>0</v>
      </c>
      <c r="C33" s="6">
        <v>18</v>
      </c>
      <c r="D33" s="6"/>
      <c r="H33" s="2" t="s">
        <v>14</v>
      </c>
      <c r="I33" s="2">
        <v>22</v>
      </c>
    </row>
    <row r="34" spans="1:12" ht="42" x14ac:dyDescent="0.45">
      <c r="A34" s="7" t="s">
        <v>9</v>
      </c>
      <c r="B34" s="6">
        <v>0</v>
      </c>
      <c r="C34" s="6"/>
      <c r="D34" s="6"/>
      <c r="I34" s="3">
        <f>SUM(I30:I33)</f>
        <v>41</v>
      </c>
      <c r="L34" s="3">
        <f>SUM(L30:L32)</f>
        <v>41</v>
      </c>
    </row>
    <row r="35" spans="1:12" x14ac:dyDescent="0.45">
      <c r="A35" s="5" t="s">
        <v>5</v>
      </c>
      <c r="B35" s="8">
        <f>SUM(B30:B34)</f>
        <v>41</v>
      </c>
      <c r="C35" s="8">
        <f t="shared" ref="C35" si="0">SUM(C30:C34)</f>
        <v>41</v>
      </c>
      <c r="D35" s="8"/>
    </row>
  </sheetData>
  <mergeCells count="1">
    <mergeCell ref="H29:I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Resumen</vt:lpstr>
      <vt:lpstr>I-2021</vt:lpstr>
      <vt:lpstr>II-2021</vt:lpstr>
      <vt:lpstr>I-2022</vt:lpstr>
      <vt:lpstr>II-2022</vt:lpstr>
      <vt:lpstr>III-2022</vt:lpstr>
      <vt:lpstr>I-2023</vt:lpstr>
      <vt:lpstr>II-2023</vt:lpstr>
      <vt:lpstr>I-2024</vt:lpstr>
      <vt:lpstr>II-2024</vt:lpstr>
      <vt:lpstr>I-2025</vt:lpstr>
      <vt:lpstr>II-2025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Kryscia Ramírez Benavides</dc:creator>
  <cp:lastModifiedBy>Kryscia Ramírez Benavides</cp:lastModifiedBy>
  <dcterms:created xsi:type="dcterms:W3CDTF">2023-09-26T20:42:23Z</dcterms:created>
  <dcterms:modified xsi:type="dcterms:W3CDTF">2026-03-24T23:02:35Z</dcterms:modified>
</cp:coreProperties>
</file>