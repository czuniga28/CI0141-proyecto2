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krysd\Dropbox\ComisionEvaluacionOrientacion\Enfasis\Encuestas\EncuestasAnomizadas\"/>
    </mc:Choice>
  </mc:AlternateContent>
  <xr:revisionPtr revIDLastSave="0" documentId="13_ncr:1_{D6548040-73D9-4709-9BEE-B0875F207E9A}" xr6:coauthVersionLast="47" xr6:coauthVersionMax="47" xr10:uidLastSave="{00000000-0000-0000-0000-000000000000}"/>
  <bookViews>
    <workbookView xWindow="-98" yWindow="-98" windowWidth="23596" windowHeight="15076" tabRatio="437" activeTab="1" xr2:uid="{00000000-000D-0000-FFFF-FFFF00000000}"/>
  </bookViews>
  <sheets>
    <sheet name="Encuesta de ingreso a énfasis" sheetId="1" r:id="rId1"/>
    <sheet name="Encuesta de ingreso a énfas (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49" i="2" l="1"/>
  <c r="AH50" i="2"/>
  <c r="AH48" i="2"/>
  <c r="R51" i="2"/>
  <c r="R50" i="2"/>
  <c r="R49" i="2"/>
  <c r="R48" i="2"/>
  <c r="R52" i="2" s="1"/>
  <c r="U49" i="2"/>
  <c r="U48" i="2"/>
  <c r="U52" i="2" s="1"/>
  <c r="Q48" i="2"/>
  <c r="Q52" i="2" s="1"/>
  <c r="Q51" i="2"/>
  <c r="Q50" i="2"/>
  <c r="Q49" i="2"/>
  <c r="O49" i="2"/>
  <c r="O48" i="2"/>
  <c r="O52" i="2" s="1"/>
  <c r="AH51" i="2" l="1"/>
</calcChain>
</file>

<file path=xl/sharedStrings.xml><?xml version="1.0" encoding="utf-8"?>
<sst xmlns="http://schemas.openxmlformats.org/spreadsheetml/2006/main" count="3365" uniqueCount="290">
  <si>
    <t>ID de respuesta</t>
  </si>
  <si>
    <t>Fecha de envío</t>
  </si>
  <si>
    <t>Última página</t>
  </si>
  <si>
    <t>Lenguaje inicial</t>
  </si>
  <si>
    <t>Semilla</t>
  </si>
  <si>
    <t>Fecha de inicio</t>
  </si>
  <si>
    <t>Fecha de la última acción</t>
  </si>
  <si>
    <t>¿Por cuáles medios se enteró de las actividades informativas de énfasis? [Correo institucional UCR]</t>
  </si>
  <si>
    <t>¿Por cuáles medios se enteró de las actividades informativas de énfasis? [Página web de la ECCI]</t>
  </si>
  <si>
    <t>¿Por cuáles medios se enteró de las actividades informativas de énfasis? [Redes sociales de la ECCI]</t>
  </si>
  <si>
    <t>¿Por cuáles medios se enteró de las actividades informativas de énfasis? [Plataforma Element]</t>
  </si>
  <si>
    <t>¿Por cuáles medios se enteró de las actividades informativas de énfasis? [Docentes]</t>
  </si>
  <si>
    <t>¿Por cuáles medios se enteró de las actividades informativas de énfasis? [Compañeros o amigos]</t>
  </si>
  <si>
    <t>¿Por cuáles medios se enteró de las actividades informativas de énfasis? [Otro]</t>
  </si>
  <si>
    <t>¿Asistió a alguna actividad realizada por los énfasis?</t>
  </si>
  <si>
    <t>Comente por qué no asistió a las actividades realizadas por los énfasis. </t>
  </si>
  <si>
    <t>¿En cuál semestre de la carrera tomó la decisión sobre el énfasis?</t>
  </si>
  <si>
    <t>¿Considera que las actividades realizadas por los énfasis influyeron en su elección?</t>
  </si>
  <si>
    <t>¿Cuáles factores influyeron en su decisión de elección de énfasis? [Interacciones con profesores]</t>
  </si>
  <si>
    <t>¿Cuáles factores influyeron en su decisión de elección de énfasis? [Cursos que ha llevado hasta el momento]</t>
  </si>
  <si>
    <t>¿Cuáles factores influyeron en su decisión de elección de énfasis? [Actividades organizadas por la ECCI]</t>
  </si>
  <si>
    <t>¿Cuáles factores influyeron en su decisión de elección de énfasis? [Interacción con estudiantes avanzados en la carrera]</t>
  </si>
  <si>
    <t>¿Cuáles factores influyeron en su decisión de elección de énfasis? [Análisis del plan de estudios de cada énfasis]</t>
  </si>
  <si>
    <t>¿Cuáles factores influyeron en su decisión de elección de énfasis? [Expectativa de obtener un empleo bien remunerado]</t>
  </si>
  <si>
    <t>¿Cuáles factores influyeron en su decisión de elección de énfasis? [Oferta de puestos disponibles en la industria]</t>
  </si>
  <si>
    <t>¿Cuáles factores influyeron en su decisión de elección de énfasis? [Otro]</t>
  </si>
  <si>
    <t>Indique el impacto que tuvieron las actividades realizadas por los énfasis en su decisión: [Actividades del Énfasis de IS]</t>
  </si>
  <si>
    <t>Indique el impacto que tuvieron las actividades realizadas por los énfasis en su decisión: [Actividades del Énfasis de ITI]</t>
  </si>
  <si>
    <t>Indique el impacto que tuvieron las actividades realizadas por los énfasis en su decisión: [Actividades del Énfasis de CC]</t>
  </si>
  <si>
    <t>Indique qué tan útiles fueron las siguientes actividades: [Charla introductoria de los énfasis]</t>
  </si>
  <si>
    <t>Indique qué tan útiles fueron las siguientes actividades: [Mesa redonda de los tres énfasis]</t>
  </si>
  <si>
    <t>Indique qué tan útiles fueron las siguientes actividades: [Charla del proceso administrativo y mitos &amp;amp; realidades]</t>
  </si>
  <si>
    <t>Comente brevemente por qué considera que fueron poco útiles las actividades indicadas en la pregunta anterior.</t>
  </si>
  <si>
    <t>¿Cuál énfasis va a elegir?</t>
  </si>
  <si>
    <t>Valore la dificultad de aprobar los siguientes semestres (ciclos) de la carrera si se lleva el bloque completo, usando una escala de 1 a 5 (donde 1 es muy fácil y 5 es muy difícil).  [I ciclo Introducción a la Computación + Introducción a la Matemática para Computación + Generales + Inglés + Deportiva]</t>
  </si>
  <si>
    <t>Valore la dificultad de aprobar los siguientes semestres (ciclos) de la carrera si se lleva el bloque completo, usando una escala de 1 a 5 (donde 1 es muy fácil y 5 es muy difícil).  [II ciclo Estructuras Discretas + Programación 1 + Cálculo 1 + Generales]</t>
  </si>
  <si>
    <t>Valore la dificultad de aprobar los siguientes semestres (ciclos) de la carrera si se lleva el bloque completo, usando una escala de 1 a 5 (donde 1 es muy fácil y 5 es muy difícil).  [III ciclo Programación 2 + Fundamentos de Arquitectura + Cálculo 2 + Álgebra Lineal + Seminario de Realidad Nacional]</t>
  </si>
  <si>
    <t>Valore la dificultad de aprobar los siguientes semestres (ciclos) de la carrera si se lleva el bloque completo, usando una escala de 1 a 5 (donde 1 es muy fácil y 5 es muy difícil).  [IV ciclo Programación Paralela y Concurrente + Análisis de Algoritmos y Estructuras de Datos + Probabilidad y Estadística + Lenguaje Ensamblador + Proyecto Integrador de Ensambla-Arqui]</t>
  </si>
  <si>
    <t>Califique el dominio que tiene de las siguientes áreas de conocimiento y qué tan efectiva fue su enseñanza. Use una escala de 1 a 5, donde 1 es muy bajo y 5 es muy alto. [Programación][Eje 1]</t>
  </si>
  <si>
    <t>Califique el dominio que tiene de las siguientes áreas de conocimiento y qué tan efectiva fue su enseñanza. Use una escala de 1 a 5, donde 1 es muy bajo y 5 es muy alto. [Programación][Eje 2]</t>
  </si>
  <si>
    <t>Califique el dominio que tiene de las siguientes áreas de conocimiento y qué tan efectiva fue su enseñanza. Use una escala de 1 a 5, donde 1 es muy bajo y 5 es muy alto. [Estructuras discretas][Eje 1]</t>
  </si>
  <si>
    <t>Califique el dominio que tiene de las siguientes áreas de conocimiento y qué tan efectiva fue su enseñanza. Use una escala de 1 a 5, donde 1 es muy bajo y 5 es muy alto. [Estructuras discretas][Eje 2]</t>
  </si>
  <si>
    <t>Califique el dominio que tiene de las siguientes áreas de conocimiento y qué tan efectiva fue su enseñanza. Use una escala de 1 a 5, donde 1 es muy bajo y 5 es muy alto. [Fundamentos de arquitectura][Eje 1]</t>
  </si>
  <si>
    <t>Califique el dominio que tiene de las siguientes áreas de conocimiento y qué tan efectiva fue su enseñanza. Use una escala de 1 a 5, donde 1 es muy bajo y 5 es muy alto. [Fundamentos de arquitectura][Eje 2]</t>
  </si>
  <si>
    <t>Califique el dominio que tiene de las siguientes áreas de conocimiento y qué tan efectiva fue su enseñanza. Use una escala de 1 a 5, donde 1 es muy bajo y 5 es muy alto. [Lenguaje Ensamblador][Eje 1]</t>
  </si>
  <si>
    <t>Califique el dominio que tiene de las siguientes áreas de conocimiento y qué tan efectiva fue su enseñanza. Use una escala de 1 a 5, donde 1 es muy bajo y 5 es muy alto. [Lenguaje Ensamblador][Eje 2]</t>
  </si>
  <si>
    <t>Califique el dominio que tiene de las siguientes áreas de conocimiento y qué tan efectiva fue su enseñanza. Use una escala de 1 a 5, donde 1 es muy bajo y 5 es muy alto. [Análisis de algoritmos y estructuras de datos][Eje 1]</t>
  </si>
  <si>
    <t>Califique el dominio que tiene de las siguientes áreas de conocimiento y qué tan efectiva fue su enseñanza. Use una escala de 1 a 5, donde 1 es muy bajo y 5 es muy alto. [Análisis de algoritmos y estructuras de datos][Eje 2]</t>
  </si>
  <si>
    <t>Califique el dominio que tiene de las siguientes áreas de conocimiento y qué tan efectiva fue su enseñanza. Use una escala de 1 a 5, donde 1 es muy bajo y 5 es muy alto. [Programación paralela y concurrente][Eje 1]</t>
  </si>
  <si>
    <t>Califique el dominio que tiene de las siguientes áreas de conocimiento y qué tan efectiva fue su enseñanza. Use una escala de 1 a 5, donde 1 es muy bajo y 5 es muy alto. [Programación paralela y concurrente][Eje 2]</t>
  </si>
  <si>
    <t>Califique el dominio que tiene de las siguientes áreas de conocimiento y qué tan efectiva fue su enseñanza. Use una escala de 1 a 5, donde 1 es muy bajo y 5 es muy alto. [Introducción a la matemática para computación][Eje 1]</t>
  </si>
  <si>
    <t>Califique el dominio que tiene de las siguientes áreas de conocimiento y qué tan efectiva fue su enseñanza. Use una escala de 1 a 5, donde 1 es muy bajo y 5 es muy alto. [Introducción a la matemática para computación][Eje 2]</t>
  </si>
  <si>
    <t>Califique el dominio que tiene de las siguientes áreas de conocimiento y qué tan efectiva fue su enseñanza. Use una escala de 1 a 5, donde 1 es muy bajo y 5 es muy alto. [Álgebra lineal][Eje 1]</t>
  </si>
  <si>
    <t>Califique el dominio que tiene de las siguientes áreas de conocimiento y qué tan efectiva fue su enseñanza. Use una escala de 1 a 5, donde 1 es muy bajo y 5 es muy alto. [Álgebra lineal][Eje 2]</t>
  </si>
  <si>
    <t>Califique el dominio que tiene de las siguientes áreas de conocimiento y qué tan efectiva fue su enseñanza. Use una escala de 1 a 5, donde 1 es muy bajo y 5 es muy alto. [Cálculo diferencial e integral][Eje 1]</t>
  </si>
  <si>
    <t>Califique el dominio que tiene de las siguientes áreas de conocimiento y qué tan efectiva fue su enseñanza. Use una escala de 1 a 5, donde 1 es muy bajo y 5 es muy alto. [Cálculo diferencial e integral][Eje 2]</t>
  </si>
  <si>
    <t>Califique el dominio que tiene de las siguientes áreas de conocimiento y qué tan efectiva fue su enseñanza. Use una escala de 1 a 5, donde 1 es muy bajo y 5 es muy alto. [Probabilidad y estadística][Eje 1]</t>
  </si>
  <si>
    <t>Califique el dominio que tiene de las siguientes áreas de conocimiento y qué tan efectiva fue su enseñanza. Use una escala de 1 a 5, donde 1 es muy bajo y 5 es muy alto. [Probabilidad y estadística][Eje 2]</t>
  </si>
  <si>
    <t>Indique qué tanto ha mejorado las siguientes habilidades o actitudes desde que inició la carrera. Use una escala de 1 a 5, donde 1 es el puntaje más bajo y 5 es el puntaje más alto. [Capacidad de trabajar en equipos]</t>
  </si>
  <si>
    <t>Indique qué tanto ha mejorado las siguientes habilidades o actitudes desde que inició la carrera. Use una escala de 1 a 5, donde 1 es el puntaje más bajo y 5 es el puntaje más alto. [Actitud ética, con responsabilidad profesional y compromiso social]</t>
  </si>
  <si>
    <t>Indique qué tanto ha mejorado las siguientes habilidades o actitudes desde que inició la carrera. Use una escala de 1 a 5, donde 1 es el puntaje más bajo y 5 es el puntaje más alto. [Comunicación asertiva]</t>
  </si>
  <si>
    <t>Indique qué tanto ha mejorado las siguientes habilidades o actitudes desde que inició la carrera. Use una escala de 1 a 5, donde 1 es el puntaje más bajo y 5 es el puntaje más alto. [Perseverancia]</t>
  </si>
  <si>
    <t>Indique qué tanto ha mejorado las siguientes habilidades o actitudes desde que inició la carrera. Use una escala de 1 a 5, donde 1 es el puntaje más bajo y 5 es el puntaje más alto. [Disciplina]</t>
  </si>
  <si>
    <t>Indique qué tanto ha mejorado las siguientes habilidades o actitudes desde que inició la carrera. Use una escala de 1 a 5, donde 1 es el puntaje más bajo y 5 es el puntaje más alto. [Colaboración]</t>
  </si>
  <si>
    <t>Indique qué tanto ha mejorado las siguientes habilidades o actitudes desde que inició la carrera. Use una escala de 1 a 5, donde 1 es el puntaje más bajo y 5 es el puntaje más alto. [Responsabilidad]</t>
  </si>
  <si>
    <t>Cualquier comentario o sugerencia que tenga sobre los dos primeros años del plan de estudios que ha cursado, será bienvenido. Por favor escríbalo aquí.</t>
  </si>
  <si>
    <t>Tiempo total</t>
  </si>
  <si>
    <t>Temporización del grupo: Información general</t>
  </si>
  <si>
    <t>Temporización de la pregunta: I01</t>
  </si>
  <si>
    <t>Temporización de la pregunta: I02</t>
  </si>
  <si>
    <t>Temporización de la pregunta: PC01</t>
  </si>
  <si>
    <t>Temporización de la pregunta: I03</t>
  </si>
  <si>
    <t>Temporización de la pregunta: NA01</t>
  </si>
  <si>
    <t>Temporización de la pregunta: I04</t>
  </si>
  <si>
    <t>Temporización de la pregunta: S05</t>
  </si>
  <si>
    <t>Temporización de la pregunta: I06</t>
  </si>
  <si>
    <t>Temporización de la pregunta: S07</t>
  </si>
  <si>
    <t>Temporización de la pregunta: S08</t>
  </si>
  <si>
    <t>Temporización de la pregunta: S09</t>
  </si>
  <si>
    <t>Temporización de la pregunta: I10</t>
  </si>
  <si>
    <t>Temporización del grupo: Retroalimentación sobre los dos primeros años del plan de estudios</t>
  </si>
  <si>
    <t>Temporización de la pregunta: R01</t>
  </si>
  <si>
    <t>Temporización de la pregunta: R02</t>
  </si>
  <si>
    <t>Temporización de la pregunta: R03</t>
  </si>
  <si>
    <t>Temporización de la pregunta: R04</t>
  </si>
  <si>
    <t>2022-10-19 15:51:33</t>
  </si>
  <si>
    <t>es</t>
  </si>
  <si>
    <t>2022-10-19 15:46:48</t>
  </si>
  <si>
    <t>Sí</t>
  </si>
  <si>
    <t>No</t>
  </si>
  <si>
    <t>I semestre del 2do año</t>
  </si>
  <si>
    <t>Parcialmente</t>
  </si>
  <si>
    <t>No asistí</t>
  </si>
  <si>
    <t>ITI: Ingeniería de Tecnologías de la Información</t>
  </si>
  <si>
    <t>Muy alto 5</t>
  </si>
  <si>
    <t>Muy bajo 1</t>
  </si>
  <si>
    <t>He mejorado mucho: 5</t>
  </si>
  <si>
    <t>2022-10-19 18:04:24</t>
  </si>
  <si>
    <t>2022-10-19 18:04:43</t>
  </si>
  <si>
    <t>N/A</t>
  </si>
  <si>
    <t>2022-10-19 22:49:12</t>
  </si>
  <si>
    <t>2022-10-19 22:50:14</t>
  </si>
  <si>
    <t>2022-10-19 23:45:06</t>
  </si>
  <si>
    <t>2022-10-20 07:53:09</t>
  </si>
  <si>
    <t>2022-10-20 07:47:09</t>
  </si>
  <si>
    <t>II semestre del 2do año</t>
  </si>
  <si>
    <t>1 - Nada útil</t>
  </si>
  <si>
    <t>Creo que deberían mostrar un poco más que se hace en cada una de las ramas, cómo mostrando más imágenes de los talleres y etc.</t>
  </si>
  <si>
    <t>CC: Ciencias de la Computación</t>
  </si>
  <si>
    <t>Muy difícil: 5</t>
  </si>
  <si>
    <t>Estos dos primeros años hay cursos los cuales no son impartidos de la manera adecuada y esto es un problema a futuro porque para algunos podría volverse un bache</t>
  </si>
  <si>
    <t>2022-10-20 08:53:08</t>
  </si>
  <si>
    <t>2022-10-20 08:47:07</t>
  </si>
  <si>
    <t>2022-10-20 09:16:49</t>
  </si>
  <si>
    <t>2022-10-20 09:08:18</t>
  </si>
  <si>
    <t>Muy fácil: 1</t>
  </si>
  <si>
    <t>Hay cursos en los que la enseñanza es particularmente deficiente y eso puede ser perjudicial a futuro.</t>
  </si>
  <si>
    <t>2022-10-20 09:08:37</t>
  </si>
  <si>
    <t>2022-10-20 09:45:05</t>
  </si>
  <si>
    <t>2022-10-20 09:36:33</t>
  </si>
  <si>
    <t>Tengo claro cuál énfasis quiero escoger, y en el semestre en el que se pide elegir énfasis no hay tiempo suficiente como para asistir a charlas muy largas</t>
  </si>
  <si>
    <t>No es que fueran poco útiles. Es que consumen mucho tiempo que actualmente no tengo</t>
  </si>
  <si>
    <t>El segundo semestre del segundo año debería se reestructurado. Está completamente desbalanceado y el hecho de que muchos alumnos hayan partido su bloque de cursos para llevar este semestre separado los atrasa enormemente en la carrera. No es una cuestión de que este semestre filtre o no a los alumnos que deberían quedarse en la carrera, sino que hasta para los alumnos excelentes y disciplinados este semestre les ha exigido más de lo que la Universidad recomienda en un proceso de enseñanza.</t>
  </si>
  <si>
    <t>2022-10-20 09:39:36</t>
  </si>
  <si>
    <t>2022-10-20 10:15:24</t>
  </si>
  <si>
    <t>2022-10-20 10:03:01</t>
  </si>
  <si>
    <t>No logré ver wn el correo invitaciones a las actividades, aunque anteriormente en otros semestres si asistí</t>
  </si>
  <si>
    <t>Debería haber más información acerca del ámbito laboral</t>
  </si>
  <si>
    <t>El segundo semestre del segundo año esta muy cargado y el tiempo es asfixiante por lo que llevar el bloque completo es muy difícil aunque uno dedique tiempo extra.</t>
  </si>
  <si>
    <t>2022-10-20 10:27:44</t>
  </si>
  <si>
    <t>2022-10-20 10:13:37</t>
  </si>
  <si>
    <t>5 - Muy útil</t>
  </si>
  <si>
    <t>2022-10-20 10:18:47</t>
  </si>
  <si>
    <t>2022-10-20 10:13:55</t>
  </si>
  <si>
    <t>La información brindada, que es de mucha ayuda, tiende a volverse repetitiva.</t>
  </si>
  <si>
    <t>2022-10-20 11:54:38</t>
  </si>
  <si>
    <t>2022-10-20 11:54:59</t>
  </si>
  <si>
    <t>2022-10-20 13:07:35</t>
  </si>
  <si>
    <t>2022-10-20 13:01:29</t>
  </si>
  <si>
    <t>II semestre del 1er año</t>
  </si>
  <si>
    <t>En mi caso, fueron poco efectivas, ya que yo tome la decisión investigando y tomando consideraciones de profesores y profesionales del área.</t>
  </si>
  <si>
    <t>Verificar la eficiencia y pedagogía de cada docente que de el curso, ya que algunos son buenos profesionales pero no tienen un sistema pedagógico ideal</t>
  </si>
  <si>
    <t>2022-10-20 13:02:29</t>
  </si>
  <si>
    <t>2022-10-20 13:04:53</t>
  </si>
  <si>
    <t>2022-10-20 15:25:35</t>
  </si>
  <si>
    <t>2022-10-20 17:17:16</t>
  </si>
  <si>
    <t>2022-10-20 17:19:03</t>
  </si>
  <si>
    <t>Por choque con horario</t>
  </si>
  <si>
    <t>I semestre del 1er año</t>
  </si>
  <si>
    <t>IS: Ingeniería de Software</t>
  </si>
  <si>
    <t>2022-10-20 18:49:02</t>
  </si>
  <si>
    <t>2022-10-20 18:41:09</t>
  </si>
  <si>
    <t>Había asistido a las mismas el semestre pasado</t>
  </si>
  <si>
    <t>Falta de Organización</t>
  </si>
  <si>
    <t>El curso de programación 1 está muy mal estructurado, siendo muy avanzado para personas 0 relacionadas con la programación</t>
  </si>
  <si>
    <t>2022-10-21 08:16:33</t>
  </si>
  <si>
    <t>2022-10-21 08:12:30</t>
  </si>
  <si>
    <t>2022-10-21 08:20:54</t>
  </si>
  <si>
    <t>2022-10-21 08:16:15</t>
  </si>
  <si>
    <t>No fuí a ninguna de las charlas pero sé cual énfasis porque los cursos que se llevan ahí me parecen interesantes y hay buena oferta laboral</t>
  </si>
  <si>
    <t>2022-10-21 20:18:34</t>
  </si>
  <si>
    <t>2022-10-21 20:15:19</t>
  </si>
  <si>
    <t>2022-10-21 20:18:33</t>
  </si>
  <si>
    <t>Por dificultad en llegar a la universidad los dias de actividades.</t>
  </si>
  <si>
    <t>2022-10-23 11:39:57</t>
  </si>
  <si>
    <t>2022-10-23 11:32:58</t>
  </si>
  <si>
    <t>Ya había decidido el énfasis.</t>
  </si>
  <si>
    <t>2022-10-23 18:17:50</t>
  </si>
  <si>
    <t>2022-10-23 23:29:53</t>
  </si>
  <si>
    <t>2022-10-23 23:20:51</t>
  </si>
  <si>
    <t>cursos que parecian mas entretenidos de tomar</t>
  </si>
  <si>
    <t>2022-10-24 07:34:00</t>
  </si>
  <si>
    <t>2022-10-24 07:28:25</t>
  </si>
  <si>
    <t>No hay suficiente tiempo</t>
  </si>
  <si>
    <t>Ya había tomado la decisión antes de entrar a la carrera</t>
  </si>
  <si>
    <t>2022-10-24 13:08:22</t>
  </si>
  <si>
    <t>2022-10-24 13:03:14</t>
  </si>
  <si>
    <t>2022-10-24 16:46:40</t>
  </si>
  <si>
    <t>2022-10-24 16:40:43</t>
  </si>
  <si>
    <t>2022-10-24 16:46:39</t>
  </si>
  <si>
    <t>Dichas actividades no pude asistir porque se conectaban con las entregas de trabajos y otras situaciones.</t>
  </si>
  <si>
    <t>No se que utilidad tienen ya que no asisti.</t>
  </si>
  <si>
    <t>2022-10-24 18:21:57</t>
  </si>
  <si>
    <t>2022-10-24 18:15:13</t>
  </si>
  <si>
    <t>2022-10-24 21:06:26</t>
  </si>
  <si>
    <t>2022-10-24 21:02:41</t>
  </si>
  <si>
    <t>2022-10-24 22:05:59</t>
  </si>
  <si>
    <t>2022-10-24 22:01:10</t>
  </si>
  <si>
    <t>2022-10-25 09:52:14</t>
  </si>
  <si>
    <t>2022-10-25 09:48:49</t>
  </si>
  <si>
    <t>2022-10-25 10:30:06</t>
  </si>
  <si>
    <t>2022-10-25 10:25:22</t>
  </si>
  <si>
    <t>Tengo claro el énfasis que quiero</t>
  </si>
  <si>
    <t>2022-10-25 11:28:23</t>
  </si>
  <si>
    <t>2022-10-25 11:28:29</t>
  </si>
  <si>
    <t>2022-10-27 12:19:55</t>
  </si>
  <si>
    <t>2022-10-27 12:19:56</t>
  </si>
  <si>
    <t>2022-10-27 15:53:10</t>
  </si>
  <si>
    <t>2022-10-27 15:48:04</t>
  </si>
  <si>
    <t>2022-10-28 12:37:00</t>
  </si>
  <si>
    <t>2022-10-28 12:34:05</t>
  </si>
  <si>
    <t>No asisti a dos.</t>
  </si>
  <si>
    <t>Liberar un poco el segundo semestre del segundo ano. Es demasiado cargado</t>
  </si>
  <si>
    <t>2022-10-28 23:26:05</t>
  </si>
  <si>
    <t>2022-10-28 23:21:46</t>
  </si>
  <si>
    <t>Fueron charlas muy por encima de los temas, con muy poco detalle.</t>
  </si>
  <si>
    <t>Deberia ser posible elegir enfasis al final de cada semestre del año, incluyendo a final de verano.</t>
  </si>
  <si>
    <t>2022-10-30 18:03:54</t>
  </si>
  <si>
    <t>2022-10-30 18:00:38</t>
  </si>
  <si>
    <t>Ya asistí previamente.</t>
  </si>
  <si>
    <t>2022-10-30 20:39:02</t>
  </si>
  <si>
    <t>2022-10-30 20:33:30</t>
  </si>
  <si>
    <t>No tuve tiempo, sin embargo ya habia asistido a las actividades del semestre pasado</t>
  </si>
  <si>
    <t>Crecimiento personal</t>
  </si>
  <si>
    <t>2022-10-31 02:39:24</t>
  </si>
  <si>
    <t>2022-10-31 02:33:58</t>
  </si>
  <si>
    <t>2022-10-31 02:39:23</t>
  </si>
  <si>
    <t>Boletines físicos</t>
  </si>
  <si>
    <t>Gusto y pasión, miedos</t>
  </si>
  <si>
    <t>2022-10-31 16:18:07</t>
  </si>
  <si>
    <t>2022-10-31 16:14:32</t>
  </si>
  <si>
    <t>2022-10-31 16:18:06</t>
  </si>
  <si>
    <t>2022-10-31 17:13:23</t>
  </si>
  <si>
    <t>2022-10-31 17:48:49</t>
  </si>
  <si>
    <t>2022-10-31 17:46:18</t>
  </si>
  <si>
    <t>Tiempo</t>
  </si>
  <si>
    <t>No aplica</t>
  </si>
  <si>
    <t>2022-11-02 00:24:00</t>
  </si>
  <si>
    <t>2022-11-02 00:16:29</t>
  </si>
  <si>
    <t>2022-11-03 05:42:04</t>
  </si>
  <si>
    <t>2022-11-03 05:38:18</t>
  </si>
  <si>
    <t>Tiempo y al ser presenciales ir de Cartago a la U en días que no tenía clases se complicaba</t>
  </si>
  <si>
    <t>2022-11-03 13:08:20</t>
  </si>
  <si>
    <t>2022-11-03 12:51:23</t>
  </si>
  <si>
    <t>Tengo una situación familiar complicada y se me hace difícil asistir fuera de horario. Pero si asistí en años anteriores cuando aún no me correspondía ir.</t>
  </si>
  <si>
    <t>Porque me permitieron cerciorarme de que me gusta programar y de que quiero trabajar y desarrollar inteligencia artificial.</t>
  </si>
  <si>
    <t>Deberían enseñar Qt como un curso más.</t>
  </si>
  <si>
    <t>2022-11-03 13:01:56</t>
  </si>
  <si>
    <t>2022-11-03 12:59:07</t>
  </si>
  <si>
    <t>No tenía tiempo por tareas de la u</t>
  </si>
  <si>
    <t>2022-11-03 13:42:14</t>
  </si>
  <si>
    <t>2022-11-03 13:38:05</t>
  </si>
  <si>
    <t>Para la charla introductoria algunos profesores no venían realmente preparados. Pasaron repitiendo que deberían de haberse aprendido la presentación para este punto, pero que no se la habían aprendido aún por alguna razón...</t>
  </si>
  <si>
    <t>El segundo semestre del segundo año está muy mal distribuido. La cantidad de carga académica es exagerada.</t>
  </si>
  <si>
    <t>2022-11-03 19:14:46</t>
  </si>
  <si>
    <t>2022-11-03 19:08:39</t>
  </si>
  <si>
    <t>Charla con ingenieron en software con 5-10 años de experiencia</t>
  </si>
  <si>
    <t>2022-11-03 21:09:14</t>
  </si>
  <si>
    <t>2022-11-03 21:09:15</t>
  </si>
  <si>
    <t>2022-11-03 22:40:59</t>
  </si>
  <si>
    <t>2022-11-03 22:35:04</t>
  </si>
  <si>
    <t>Falta de tiempo.</t>
  </si>
  <si>
    <t>Pienso que lo que me benefició a la hora de escoger énfasis fue más que todo comparar los cursos.</t>
  </si>
  <si>
    <t>Quizás bajar la dificultad de alguna manera del semestre de la muerte.</t>
  </si>
  <si>
    <t>2022-11-04 02:25:30</t>
  </si>
  <si>
    <t>2022-11-04 02:11:49</t>
  </si>
  <si>
    <t>No tenía tiempo por los cursos / No sabía de antemano.</t>
  </si>
  <si>
    <t>Vago interés en los cursos. Indiferencia a escoger entre los demás (nos dijeron que no importa demasiado cuál se escoge).</t>
  </si>
  <si>
    <t>No asistí a todas, por lo que solo puedo referirme a la actividad de charla en el auditorio de los encargados de cada énfasis. Sentí que ningún énfasis me llamo mucho la atención. Siento más interés por los cursos que por algún prospecto del énfasis. Me gusta la idea de la investigación, pero las charlas las sentí enfocadas casi que exclusivamente al mercado laboral.</t>
  </si>
  <si>
    <t>No he mejorado: 1</t>
  </si>
  <si>
    <t>Llevar bloque completo en el IIdo semestre del IIdo año es muy, muy complicado por las exigencias de tiempo que tienen todos los cursos a la vez. Sería buena idea agregar o al menos abrir oferta o puertas para cursos de desarrollo Frontend y desarrollo Web, para poder tener habilidades en una de las áreas de empleo más abiertas al momento, y así defenderse con cierto ingreso. Siento que no existe considerable incentivo en la socialización entre compañeros de carrera dentro de las aulas / cursos, y que tampoco se nos exige o enseña el desarrollo de habilidades blandas. Más allá de eso, ¡agradezco mucho sus esfuerzos y trabajo para la carrera y escuela!</t>
  </si>
  <si>
    <t>2022-11-04 12:23:07</t>
  </si>
  <si>
    <t>2022-11-04 12:31:35</t>
  </si>
  <si>
    <t>Problemas de horario.</t>
  </si>
  <si>
    <t>2022-11-04 13:18:09</t>
  </si>
  <si>
    <t>2022-11-04 13:12:28</t>
  </si>
  <si>
    <t>Tenía claro el énfasis a elegir</t>
  </si>
  <si>
    <t>Fue suficiente con lo que utilicé</t>
  </si>
  <si>
    <t>2022-11-04 13:40:10</t>
  </si>
  <si>
    <t>2022-11-04 13:37:19</t>
  </si>
  <si>
    <t>Problemas de choque de horarios.</t>
  </si>
  <si>
    <t>Cursé el primer año en modalidad completamente virtual y al haber cursado presencial mente el segundo año, noto se desperdicia una herramienta que se demostró útil durante la pandemia. Hay muchos cursos los cuales no requieren la presencialidad de los estudiantes ni los profesores. Dado es una carrera la cual no requiere de instalaciones particularmente especiales para la enseñanza de los temas vistos, opino (al menos para las clases y no necesariamente al realizar evaluaciones) que deberían habilitar grupos a disposición de los profesores que dan los cursos a que den clases completamente virtuales. Ahorraría muchos problemas en términos de transporte, alojamiento y tiempo.
No conozco la razón por la que los cursos de esta carrera hayan sido completamente presenciales, a diferencia de otras carreras, pero de ser posible sería excelente admitir más modalidades.</t>
  </si>
  <si>
    <t>2022-11-04 14:57:07</t>
  </si>
  <si>
    <t>2022-11-04 14:50:41</t>
  </si>
  <si>
    <t>En realidad no me tenía mucho interés, y busqué información los días cercanos al énfasis. Hay mucha información de los diferentes énfasis en la página de la ECCI, menos el énfasis de ingeniera de software que existe realmente muy poca información.</t>
  </si>
  <si>
    <t>2022-11-11 18:20:54</t>
  </si>
  <si>
    <t>2022-11-11 19:19:34</t>
  </si>
  <si>
    <t>2022-11-11 19:14:22</t>
  </si>
  <si>
    <t>Ya me gradué de un enfasis anterior, por lo que conocía ya el asunto</t>
  </si>
  <si>
    <t>Era el segundo enfasis de interes. Ya ahora graduado, queria ver los cursos</t>
  </si>
  <si>
    <t>Ya coocía del enfasis desde hace tiempo</t>
  </si>
  <si>
    <t>Si pudieran agregar opciones para quienes nos pasamos de enfasis ya con el bachillerato, podria dar algo información màs precisa.</t>
  </si>
  <si>
    <t>2022-11-11 20:13:25</t>
  </si>
  <si>
    <t>2022-11-11 20:08:11</t>
  </si>
  <si>
    <t>2022-11-13 11:57:11</t>
  </si>
  <si>
    <t>2022-11-13 11:49:11</t>
  </si>
  <si>
    <t>Hablan en círculos sobre temas que no parecen relevantes</t>
  </si>
  <si>
    <t>El conocimiento de algunos profesores parcee estar muy desactualizado con la tecnología de ahora, nos obligan a usar herramientas que no solo están fuera de uso pero que dificultan la enseñanza, no entiendo por qué comenzamos programando en Java para terminar usando C/C++, cuando deberíamos de comenzar por C, que habarca todo lo que nececitamos en progra1, luego progra2 C++, también deberían de obligarnos a usar Linux desde el principio, cuando se llega a segundo semestre del segudo año el golpe es demasiado fuerte ya que nos toca usar muchas herramientas que nunca hemos usado y se asume que tenemos conocimiento previo</t>
  </si>
  <si>
    <t>Blanco</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</si>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</sst>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amily val="2"/>
      <charset val="1"/>
    </font>
    <font>
      <b/>
      <sz val="11"/>
      <color theme="1"/>
      <name val="Arial"/>
      <family val="2"/>
    </font>
    <font>
      <sz val="11"/>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0" fontId="2"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G63"/>
  <sheetViews>
    <sheetView zoomScaleNormal="100" workbookViewId="0">
      <selection activeCell="I8" sqref="I8"/>
    </sheetView>
  </sheetViews>
  <sheetFormatPr baseColWidth="10" defaultRowHeight="12.75" x14ac:dyDescent="0.35"/>
  <cols>
    <col min="1" max="1" width="11.46484375"/>
    <col min="2" max="2" width="12.6640625" customWidth="1"/>
    <col min="3" max="5" width="11.46484375"/>
    <col min="6" max="6" width="19.6640625" customWidth="1"/>
    <col min="7" max="7" width="23.46484375" customWidth="1"/>
    <col min="8" max="1022" width="11.46484375"/>
  </cols>
  <sheetData>
    <row r="1" spans="1:8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row>
    <row r="2" spans="1:85" x14ac:dyDescent="0.35">
      <c r="A2">
        <v>261</v>
      </c>
      <c r="B2" t="s">
        <v>85</v>
      </c>
      <c r="C2">
        <v>2</v>
      </c>
      <c r="D2" t="s">
        <v>86</v>
      </c>
      <c r="E2">
        <v>1810978913</v>
      </c>
      <c r="F2" t="s">
        <v>87</v>
      </c>
      <c r="G2" t="s">
        <v>85</v>
      </c>
      <c r="H2" t="s">
        <v>88</v>
      </c>
      <c r="I2" t="s">
        <v>88</v>
      </c>
      <c r="J2" t="s">
        <v>88</v>
      </c>
      <c r="K2" t="s">
        <v>89</v>
      </c>
      <c r="L2" t="s">
        <v>89</v>
      </c>
      <c r="M2" t="s">
        <v>89</v>
      </c>
      <c r="O2" t="s">
        <v>88</v>
      </c>
      <c r="Q2" t="s">
        <v>90</v>
      </c>
      <c r="R2" t="s">
        <v>91</v>
      </c>
      <c r="S2" t="s">
        <v>89</v>
      </c>
      <c r="T2" t="s">
        <v>89</v>
      </c>
      <c r="U2" t="s">
        <v>89</v>
      </c>
      <c r="V2" t="s">
        <v>89</v>
      </c>
      <c r="W2" t="s">
        <v>88</v>
      </c>
      <c r="X2" t="s">
        <v>89</v>
      </c>
      <c r="Y2" t="s">
        <v>88</v>
      </c>
      <c r="AD2">
        <v>4</v>
      </c>
      <c r="AE2" t="s">
        <v>92</v>
      </c>
      <c r="AF2">
        <v>4</v>
      </c>
      <c r="AH2" t="s">
        <v>93</v>
      </c>
      <c r="AI2">
        <v>2</v>
      </c>
      <c r="AJ2">
        <v>3</v>
      </c>
      <c r="AK2">
        <v>3</v>
      </c>
      <c r="AL2">
        <v>4</v>
      </c>
      <c r="AM2">
        <v>4</v>
      </c>
      <c r="AN2" t="s">
        <v>94</v>
      </c>
      <c r="AO2">
        <v>3</v>
      </c>
      <c r="AP2">
        <v>3</v>
      </c>
      <c r="AQ2">
        <v>2</v>
      </c>
      <c r="AR2">
        <v>2</v>
      </c>
      <c r="AS2" t="s">
        <v>95</v>
      </c>
      <c r="AT2">
        <v>3</v>
      </c>
      <c r="AU2">
        <v>4</v>
      </c>
      <c r="AV2" t="s">
        <v>94</v>
      </c>
      <c r="AW2">
        <v>3</v>
      </c>
      <c r="AX2" t="s">
        <v>94</v>
      </c>
      <c r="AY2">
        <v>2</v>
      </c>
      <c r="AZ2">
        <v>3</v>
      </c>
      <c r="BA2">
        <v>2</v>
      </c>
      <c r="BB2">
        <v>3</v>
      </c>
      <c r="BC2">
        <v>2</v>
      </c>
      <c r="BD2">
        <v>3</v>
      </c>
      <c r="BE2">
        <v>3</v>
      </c>
      <c r="BF2">
        <v>4</v>
      </c>
      <c r="BG2" t="s">
        <v>96</v>
      </c>
      <c r="BH2" t="s">
        <v>96</v>
      </c>
      <c r="BI2">
        <v>4</v>
      </c>
      <c r="BJ2" t="s">
        <v>96</v>
      </c>
      <c r="BK2">
        <v>4</v>
      </c>
      <c r="BL2">
        <v>4</v>
      </c>
      <c r="BM2">
        <v>4</v>
      </c>
      <c r="BO2">
        <v>284.79000000000002</v>
      </c>
      <c r="BP2">
        <v>110.49</v>
      </c>
      <c r="CC2">
        <v>174.3</v>
      </c>
    </row>
    <row r="3" spans="1:85" x14ac:dyDescent="0.35">
      <c r="A3">
        <v>262</v>
      </c>
      <c r="C3">
        <v>0</v>
      </c>
      <c r="D3" t="s">
        <v>86</v>
      </c>
      <c r="E3">
        <v>1257021369</v>
      </c>
      <c r="F3" t="s">
        <v>97</v>
      </c>
      <c r="G3" t="s">
        <v>98</v>
      </c>
      <c r="H3" t="s">
        <v>89</v>
      </c>
      <c r="I3" t="s">
        <v>89</v>
      </c>
      <c r="J3" t="s">
        <v>89</v>
      </c>
      <c r="K3" t="s">
        <v>89</v>
      </c>
      <c r="L3" t="s">
        <v>89</v>
      </c>
      <c r="M3" t="s">
        <v>89</v>
      </c>
      <c r="O3" t="s">
        <v>99</v>
      </c>
      <c r="S3" t="s">
        <v>89</v>
      </c>
      <c r="T3" t="s">
        <v>89</v>
      </c>
      <c r="U3" t="s">
        <v>89</v>
      </c>
      <c r="V3" t="s">
        <v>89</v>
      </c>
      <c r="W3" t="s">
        <v>89</v>
      </c>
      <c r="X3" t="s">
        <v>89</v>
      </c>
      <c r="Y3" t="s">
        <v>89</v>
      </c>
      <c r="BO3">
        <v>19.91</v>
      </c>
      <c r="BP3">
        <v>19.91</v>
      </c>
    </row>
    <row r="4" spans="1:85" x14ac:dyDescent="0.35">
      <c r="A4">
        <v>263</v>
      </c>
      <c r="C4">
        <v>0</v>
      </c>
      <c r="D4" t="s">
        <v>86</v>
      </c>
      <c r="E4">
        <v>1944576568</v>
      </c>
      <c r="F4" t="s">
        <v>100</v>
      </c>
      <c r="G4" t="s">
        <v>101</v>
      </c>
      <c r="H4" t="s">
        <v>89</v>
      </c>
      <c r="I4" t="s">
        <v>89</v>
      </c>
      <c r="J4" t="s">
        <v>89</v>
      </c>
      <c r="K4" t="s">
        <v>89</v>
      </c>
      <c r="L4" t="s">
        <v>89</v>
      </c>
      <c r="M4" t="s">
        <v>89</v>
      </c>
      <c r="O4" t="s">
        <v>99</v>
      </c>
      <c r="S4" t="s">
        <v>89</v>
      </c>
      <c r="T4" t="s">
        <v>89</v>
      </c>
      <c r="U4" t="s">
        <v>89</v>
      </c>
      <c r="V4" t="s">
        <v>89</v>
      </c>
      <c r="W4" t="s">
        <v>89</v>
      </c>
      <c r="X4" t="s">
        <v>89</v>
      </c>
      <c r="Y4" t="s">
        <v>89</v>
      </c>
      <c r="BO4">
        <v>61.19</v>
      </c>
      <c r="BP4">
        <v>61.19</v>
      </c>
    </row>
    <row r="5" spans="1:85" x14ac:dyDescent="0.35">
      <c r="A5">
        <v>264</v>
      </c>
      <c r="C5">
        <v>0</v>
      </c>
      <c r="D5" t="s">
        <v>86</v>
      </c>
      <c r="E5">
        <v>970719260</v>
      </c>
      <c r="F5" t="s">
        <v>102</v>
      </c>
      <c r="G5" t="s">
        <v>102</v>
      </c>
      <c r="H5" t="s">
        <v>99</v>
      </c>
      <c r="I5" t="s">
        <v>99</v>
      </c>
      <c r="J5" t="s">
        <v>99</v>
      </c>
      <c r="K5" t="s">
        <v>99</v>
      </c>
      <c r="L5" t="s">
        <v>99</v>
      </c>
      <c r="M5" t="s">
        <v>99</v>
      </c>
      <c r="O5" t="s">
        <v>99</v>
      </c>
      <c r="S5" t="s">
        <v>99</v>
      </c>
      <c r="T5" t="s">
        <v>99</v>
      </c>
      <c r="U5" t="s">
        <v>99</v>
      </c>
      <c r="V5" t="s">
        <v>99</v>
      </c>
      <c r="W5" t="s">
        <v>99</v>
      </c>
      <c r="X5" t="s">
        <v>99</v>
      </c>
      <c r="Y5" t="s">
        <v>99</v>
      </c>
      <c r="BO5">
        <v>0</v>
      </c>
    </row>
    <row r="6" spans="1:85" x14ac:dyDescent="0.35">
      <c r="A6">
        <v>265</v>
      </c>
      <c r="B6" t="s">
        <v>103</v>
      </c>
      <c r="C6">
        <v>2</v>
      </c>
      <c r="D6" t="s">
        <v>86</v>
      </c>
      <c r="E6">
        <v>1979250957</v>
      </c>
      <c r="F6" t="s">
        <v>104</v>
      </c>
      <c r="G6" t="s">
        <v>103</v>
      </c>
      <c r="H6" t="s">
        <v>88</v>
      </c>
      <c r="I6" t="s">
        <v>89</v>
      </c>
      <c r="J6" t="s">
        <v>89</v>
      </c>
      <c r="K6" t="s">
        <v>89</v>
      </c>
      <c r="L6" t="s">
        <v>89</v>
      </c>
      <c r="M6" t="s">
        <v>89</v>
      </c>
      <c r="O6" t="s">
        <v>88</v>
      </c>
      <c r="Q6" t="s">
        <v>105</v>
      </c>
      <c r="R6" t="s">
        <v>91</v>
      </c>
      <c r="S6" t="s">
        <v>88</v>
      </c>
      <c r="T6" t="s">
        <v>89</v>
      </c>
      <c r="U6" t="s">
        <v>89</v>
      </c>
      <c r="V6" t="s">
        <v>89</v>
      </c>
      <c r="W6" t="s">
        <v>89</v>
      </c>
      <c r="X6" t="s">
        <v>88</v>
      </c>
      <c r="Y6" t="s">
        <v>89</v>
      </c>
      <c r="AD6">
        <v>3</v>
      </c>
      <c r="AE6">
        <v>4</v>
      </c>
      <c r="AF6" t="s">
        <v>106</v>
      </c>
      <c r="AG6" t="s">
        <v>107</v>
      </c>
      <c r="AH6" t="s">
        <v>108</v>
      </c>
      <c r="AI6">
        <v>2</v>
      </c>
      <c r="AJ6">
        <v>3</v>
      </c>
      <c r="AK6">
        <v>4</v>
      </c>
      <c r="AL6" t="s">
        <v>109</v>
      </c>
      <c r="AM6">
        <v>4</v>
      </c>
      <c r="AN6" t="s">
        <v>94</v>
      </c>
      <c r="AO6">
        <v>3</v>
      </c>
      <c r="AP6" t="s">
        <v>95</v>
      </c>
      <c r="AQ6" t="s">
        <v>94</v>
      </c>
      <c r="AR6" t="s">
        <v>94</v>
      </c>
      <c r="AS6">
        <v>3</v>
      </c>
      <c r="AT6">
        <v>3</v>
      </c>
      <c r="AU6">
        <v>4</v>
      </c>
      <c r="AV6" t="s">
        <v>94</v>
      </c>
      <c r="AW6">
        <v>4</v>
      </c>
      <c r="AX6" t="s">
        <v>94</v>
      </c>
      <c r="AY6">
        <v>4</v>
      </c>
      <c r="AZ6">
        <v>2</v>
      </c>
      <c r="BA6">
        <v>4</v>
      </c>
      <c r="BB6">
        <v>2</v>
      </c>
      <c r="BC6">
        <v>4</v>
      </c>
      <c r="BD6">
        <v>4</v>
      </c>
      <c r="BE6">
        <v>4</v>
      </c>
      <c r="BF6">
        <v>4</v>
      </c>
      <c r="BG6" t="s">
        <v>96</v>
      </c>
      <c r="BH6" t="s">
        <v>96</v>
      </c>
      <c r="BI6" t="s">
        <v>96</v>
      </c>
      <c r="BJ6" t="s">
        <v>96</v>
      </c>
      <c r="BK6" t="s">
        <v>96</v>
      </c>
      <c r="BL6" t="s">
        <v>96</v>
      </c>
      <c r="BM6" t="s">
        <v>96</v>
      </c>
      <c r="BN6" t="s">
        <v>110</v>
      </c>
      <c r="BO6">
        <v>359.25</v>
      </c>
      <c r="BP6">
        <v>157.11000000000001</v>
      </c>
      <c r="CC6">
        <v>202.14</v>
      </c>
    </row>
    <row r="7" spans="1:85" x14ac:dyDescent="0.35">
      <c r="A7">
        <v>266</v>
      </c>
      <c r="B7" t="s">
        <v>111</v>
      </c>
      <c r="C7">
        <v>2</v>
      </c>
      <c r="D7" t="s">
        <v>86</v>
      </c>
      <c r="E7">
        <v>2005128343</v>
      </c>
      <c r="F7" t="s">
        <v>112</v>
      </c>
      <c r="G7" t="s">
        <v>111</v>
      </c>
      <c r="H7" t="s">
        <v>88</v>
      </c>
      <c r="I7" t="s">
        <v>89</v>
      </c>
      <c r="J7" t="s">
        <v>89</v>
      </c>
      <c r="K7" t="s">
        <v>89</v>
      </c>
      <c r="L7" t="s">
        <v>88</v>
      </c>
      <c r="M7" t="s">
        <v>89</v>
      </c>
      <c r="O7" t="s">
        <v>88</v>
      </c>
      <c r="Q7" t="s">
        <v>90</v>
      </c>
      <c r="R7" t="s">
        <v>89</v>
      </c>
      <c r="S7" t="s">
        <v>88</v>
      </c>
      <c r="T7" t="s">
        <v>89</v>
      </c>
      <c r="U7" t="s">
        <v>89</v>
      </c>
      <c r="V7" t="s">
        <v>89</v>
      </c>
      <c r="W7" t="s">
        <v>88</v>
      </c>
      <c r="X7" t="s">
        <v>88</v>
      </c>
      <c r="Y7" t="s">
        <v>89</v>
      </c>
      <c r="AD7">
        <v>2</v>
      </c>
      <c r="AE7" t="s">
        <v>92</v>
      </c>
      <c r="AF7" t="s">
        <v>92</v>
      </c>
      <c r="AH7" t="s">
        <v>108</v>
      </c>
      <c r="AI7">
        <v>3</v>
      </c>
      <c r="AJ7">
        <v>2</v>
      </c>
      <c r="AK7">
        <v>3</v>
      </c>
      <c r="AL7" t="s">
        <v>109</v>
      </c>
      <c r="AM7">
        <v>3</v>
      </c>
      <c r="AN7">
        <v>4</v>
      </c>
      <c r="AO7" t="s">
        <v>95</v>
      </c>
      <c r="AP7">
        <v>2</v>
      </c>
      <c r="AQ7">
        <v>3</v>
      </c>
      <c r="AR7">
        <v>4</v>
      </c>
      <c r="AS7">
        <v>3</v>
      </c>
      <c r="AT7">
        <v>4</v>
      </c>
      <c r="AU7">
        <v>4</v>
      </c>
      <c r="AV7">
        <v>4</v>
      </c>
      <c r="AW7">
        <v>3</v>
      </c>
      <c r="AX7" t="s">
        <v>94</v>
      </c>
      <c r="AY7" t="s">
        <v>94</v>
      </c>
      <c r="AZ7" t="s">
        <v>94</v>
      </c>
      <c r="BA7">
        <v>3</v>
      </c>
      <c r="BB7" t="s">
        <v>94</v>
      </c>
      <c r="BC7">
        <v>3</v>
      </c>
      <c r="BD7">
        <v>4</v>
      </c>
      <c r="BE7">
        <v>2</v>
      </c>
      <c r="BF7">
        <v>4</v>
      </c>
      <c r="BG7" t="s">
        <v>96</v>
      </c>
      <c r="BH7">
        <v>4</v>
      </c>
      <c r="BI7">
        <v>4</v>
      </c>
      <c r="BJ7">
        <v>3</v>
      </c>
      <c r="BK7">
        <v>4</v>
      </c>
      <c r="BL7" t="s">
        <v>96</v>
      </c>
      <c r="BM7" t="s">
        <v>96</v>
      </c>
      <c r="BO7">
        <v>361.66</v>
      </c>
      <c r="BP7">
        <v>104.84</v>
      </c>
      <c r="CC7">
        <v>256.82</v>
      </c>
    </row>
    <row r="8" spans="1:85" x14ac:dyDescent="0.35">
      <c r="A8">
        <v>267</v>
      </c>
      <c r="B8" t="s">
        <v>113</v>
      </c>
      <c r="C8">
        <v>2</v>
      </c>
      <c r="D8" t="s">
        <v>86</v>
      </c>
      <c r="E8">
        <v>1807253933</v>
      </c>
      <c r="F8" t="s">
        <v>114</v>
      </c>
      <c r="G8" t="s">
        <v>113</v>
      </c>
      <c r="H8" t="s">
        <v>88</v>
      </c>
      <c r="I8" t="s">
        <v>89</v>
      </c>
      <c r="J8" t="s">
        <v>88</v>
      </c>
      <c r="K8" t="s">
        <v>89</v>
      </c>
      <c r="L8" t="s">
        <v>88</v>
      </c>
      <c r="M8" t="s">
        <v>88</v>
      </c>
      <c r="O8" t="s">
        <v>88</v>
      </c>
      <c r="Q8" t="s">
        <v>105</v>
      </c>
      <c r="R8" t="s">
        <v>91</v>
      </c>
      <c r="S8" t="s">
        <v>88</v>
      </c>
      <c r="T8" t="s">
        <v>88</v>
      </c>
      <c r="U8" t="s">
        <v>89</v>
      </c>
      <c r="V8" t="s">
        <v>88</v>
      </c>
      <c r="W8" t="s">
        <v>88</v>
      </c>
      <c r="X8" t="s">
        <v>89</v>
      </c>
      <c r="Y8" t="s">
        <v>89</v>
      </c>
      <c r="AD8">
        <v>4</v>
      </c>
      <c r="AE8" t="s">
        <v>92</v>
      </c>
      <c r="AF8" t="s">
        <v>92</v>
      </c>
      <c r="AH8" t="s">
        <v>108</v>
      </c>
      <c r="AI8" t="s">
        <v>115</v>
      </c>
      <c r="AJ8">
        <v>2</v>
      </c>
      <c r="AK8">
        <v>3</v>
      </c>
      <c r="AL8" t="s">
        <v>109</v>
      </c>
      <c r="AM8" t="s">
        <v>94</v>
      </c>
      <c r="AN8" t="s">
        <v>94</v>
      </c>
      <c r="AO8">
        <v>3</v>
      </c>
      <c r="AP8">
        <v>3</v>
      </c>
      <c r="AQ8" t="s">
        <v>95</v>
      </c>
      <c r="AR8" t="s">
        <v>95</v>
      </c>
      <c r="AS8">
        <v>3</v>
      </c>
      <c r="AT8">
        <v>3</v>
      </c>
      <c r="AU8" t="s">
        <v>94</v>
      </c>
      <c r="AV8" t="s">
        <v>94</v>
      </c>
      <c r="AW8">
        <v>4</v>
      </c>
      <c r="AX8" t="s">
        <v>94</v>
      </c>
      <c r="AY8" t="s">
        <v>94</v>
      </c>
      <c r="AZ8">
        <v>4</v>
      </c>
      <c r="BA8">
        <v>4</v>
      </c>
      <c r="BB8">
        <v>4</v>
      </c>
      <c r="BC8">
        <v>4</v>
      </c>
      <c r="BD8" t="s">
        <v>94</v>
      </c>
      <c r="BE8">
        <v>3</v>
      </c>
      <c r="BF8" t="s">
        <v>94</v>
      </c>
      <c r="BG8" t="s">
        <v>96</v>
      </c>
      <c r="BH8" t="s">
        <v>96</v>
      </c>
      <c r="BI8" t="s">
        <v>96</v>
      </c>
      <c r="BJ8" t="s">
        <v>96</v>
      </c>
      <c r="BK8" t="s">
        <v>96</v>
      </c>
      <c r="BL8" t="s">
        <v>96</v>
      </c>
      <c r="BM8" t="s">
        <v>96</v>
      </c>
      <c r="BN8" t="s">
        <v>116</v>
      </c>
      <c r="BO8">
        <v>512.01</v>
      </c>
      <c r="BP8">
        <v>182.68</v>
      </c>
      <c r="CC8">
        <v>329.33</v>
      </c>
    </row>
    <row r="9" spans="1:85" x14ac:dyDescent="0.35">
      <c r="A9">
        <v>268</v>
      </c>
      <c r="C9">
        <v>0</v>
      </c>
      <c r="D9" t="s">
        <v>86</v>
      </c>
      <c r="E9">
        <v>507216277</v>
      </c>
      <c r="F9" t="s">
        <v>117</v>
      </c>
      <c r="G9" t="s">
        <v>117</v>
      </c>
      <c r="H9" t="s">
        <v>99</v>
      </c>
      <c r="I9" t="s">
        <v>99</v>
      </c>
      <c r="J9" t="s">
        <v>99</v>
      </c>
      <c r="K9" t="s">
        <v>99</v>
      </c>
      <c r="L9" t="s">
        <v>99</v>
      </c>
      <c r="M9" t="s">
        <v>99</v>
      </c>
      <c r="O9" t="s">
        <v>99</v>
      </c>
      <c r="S9" t="s">
        <v>99</v>
      </c>
      <c r="T9" t="s">
        <v>99</v>
      </c>
      <c r="U9" t="s">
        <v>99</v>
      </c>
      <c r="V9" t="s">
        <v>99</v>
      </c>
      <c r="W9" t="s">
        <v>99</v>
      </c>
      <c r="X9" t="s">
        <v>99</v>
      </c>
      <c r="Y9" t="s">
        <v>99</v>
      </c>
      <c r="BO9">
        <v>0</v>
      </c>
    </row>
    <row r="10" spans="1:85" x14ac:dyDescent="0.35">
      <c r="A10">
        <v>269</v>
      </c>
      <c r="B10" t="s">
        <v>118</v>
      </c>
      <c r="C10">
        <v>2</v>
      </c>
      <c r="D10" t="s">
        <v>86</v>
      </c>
      <c r="E10">
        <v>1691718777</v>
      </c>
      <c r="F10" t="s">
        <v>119</v>
      </c>
      <c r="G10" t="s">
        <v>118</v>
      </c>
      <c r="H10" t="s">
        <v>88</v>
      </c>
      <c r="I10" t="s">
        <v>89</v>
      </c>
      <c r="J10" t="s">
        <v>89</v>
      </c>
      <c r="K10" t="s">
        <v>89</v>
      </c>
      <c r="L10" t="s">
        <v>89</v>
      </c>
      <c r="M10" t="s">
        <v>88</v>
      </c>
      <c r="O10" t="s">
        <v>89</v>
      </c>
      <c r="P10" t="s">
        <v>120</v>
      </c>
      <c r="Q10" t="s">
        <v>90</v>
      </c>
      <c r="S10" t="s">
        <v>88</v>
      </c>
      <c r="T10" t="s">
        <v>88</v>
      </c>
      <c r="U10" t="s">
        <v>89</v>
      </c>
      <c r="V10" t="s">
        <v>88</v>
      </c>
      <c r="W10" t="s">
        <v>89</v>
      </c>
      <c r="X10" t="s">
        <v>89</v>
      </c>
      <c r="Y10" t="s">
        <v>89</v>
      </c>
      <c r="AG10" t="s">
        <v>121</v>
      </c>
      <c r="AH10" t="s">
        <v>108</v>
      </c>
      <c r="AI10">
        <v>3</v>
      </c>
      <c r="AJ10">
        <v>4</v>
      </c>
      <c r="AK10">
        <v>3</v>
      </c>
      <c r="AL10" t="s">
        <v>109</v>
      </c>
      <c r="AM10">
        <v>4</v>
      </c>
      <c r="AN10">
        <v>3</v>
      </c>
      <c r="AO10">
        <v>3</v>
      </c>
      <c r="AP10">
        <v>2</v>
      </c>
      <c r="AQ10">
        <v>2</v>
      </c>
      <c r="AR10" t="s">
        <v>95</v>
      </c>
      <c r="AS10">
        <v>4</v>
      </c>
      <c r="AT10">
        <v>4</v>
      </c>
      <c r="AU10">
        <v>4</v>
      </c>
      <c r="AV10" t="s">
        <v>94</v>
      </c>
      <c r="AW10">
        <v>4</v>
      </c>
      <c r="AX10" t="s">
        <v>94</v>
      </c>
      <c r="AY10" t="s">
        <v>94</v>
      </c>
      <c r="AZ10" t="s">
        <v>94</v>
      </c>
      <c r="BA10" t="s">
        <v>94</v>
      </c>
      <c r="BB10" t="s">
        <v>94</v>
      </c>
      <c r="BC10">
        <v>4</v>
      </c>
      <c r="BD10" t="s">
        <v>94</v>
      </c>
      <c r="BE10">
        <v>2</v>
      </c>
      <c r="BF10">
        <v>3</v>
      </c>
      <c r="BG10" t="s">
        <v>96</v>
      </c>
      <c r="BH10" t="s">
        <v>96</v>
      </c>
      <c r="BI10">
        <v>4</v>
      </c>
      <c r="BJ10" t="s">
        <v>96</v>
      </c>
      <c r="BK10" t="s">
        <v>96</v>
      </c>
      <c r="BL10">
        <v>4</v>
      </c>
      <c r="BM10" t="s">
        <v>96</v>
      </c>
      <c r="BN10" t="s">
        <v>122</v>
      </c>
      <c r="BO10">
        <v>512.07000000000005</v>
      </c>
      <c r="BP10">
        <v>192.11</v>
      </c>
      <c r="CC10">
        <v>319.95999999999998</v>
      </c>
    </row>
    <row r="11" spans="1:85" x14ac:dyDescent="0.35">
      <c r="A11">
        <v>270</v>
      </c>
      <c r="C11">
        <v>0</v>
      </c>
      <c r="D11" t="s">
        <v>86</v>
      </c>
      <c r="E11">
        <v>1151106889</v>
      </c>
      <c r="F11" t="s">
        <v>123</v>
      </c>
      <c r="G11" t="s">
        <v>123</v>
      </c>
      <c r="H11" t="s">
        <v>99</v>
      </c>
      <c r="I11" t="s">
        <v>99</v>
      </c>
      <c r="J11" t="s">
        <v>99</v>
      </c>
      <c r="K11" t="s">
        <v>99</v>
      </c>
      <c r="L11" t="s">
        <v>99</v>
      </c>
      <c r="M11" t="s">
        <v>99</v>
      </c>
      <c r="O11" t="s">
        <v>99</v>
      </c>
      <c r="S11" t="s">
        <v>99</v>
      </c>
      <c r="T11" t="s">
        <v>99</v>
      </c>
      <c r="U11" t="s">
        <v>99</v>
      </c>
      <c r="V11" t="s">
        <v>99</v>
      </c>
      <c r="W11" t="s">
        <v>99</v>
      </c>
      <c r="X11" t="s">
        <v>99</v>
      </c>
      <c r="Y11" t="s">
        <v>99</v>
      </c>
      <c r="BO11">
        <v>0</v>
      </c>
    </row>
    <row r="12" spans="1:85" x14ac:dyDescent="0.35">
      <c r="A12">
        <v>271</v>
      </c>
      <c r="B12" t="s">
        <v>124</v>
      </c>
      <c r="C12">
        <v>2</v>
      </c>
      <c r="D12" t="s">
        <v>86</v>
      </c>
      <c r="E12">
        <v>2108927546</v>
      </c>
      <c r="F12" t="s">
        <v>125</v>
      </c>
      <c r="G12" t="s">
        <v>124</v>
      </c>
      <c r="H12" t="s">
        <v>89</v>
      </c>
      <c r="I12" t="s">
        <v>89</v>
      </c>
      <c r="J12" t="s">
        <v>89</v>
      </c>
      <c r="K12" t="s">
        <v>89</v>
      </c>
      <c r="L12" t="s">
        <v>89</v>
      </c>
      <c r="M12" t="s">
        <v>88</v>
      </c>
      <c r="O12" t="s">
        <v>89</v>
      </c>
      <c r="P12" t="s">
        <v>126</v>
      </c>
      <c r="Q12" t="s">
        <v>105</v>
      </c>
      <c r="S12" t="s">
        <v>88</v>
      </c>
      <c r="T12" t="s">
        <v>88</v>
      </c>
      <c r="U12" t="s">
        <v>89</v>
      </c>
      <c r="V12" t="s">
        <v>89</v>
      </c>
      <c r="W12" t="s">
        <v>88</v>
      </c>
      <c r="X12" t="s">
        <v>88</v>
      </c>
      <c r="Y12" t="s">
        <v>88</v>
      </c>
      <c r="AG12" t="s">
        <v>127</v>
      </c>
      <c r="AH12" t="s">
        <v>108</v>
      </c>
      <c r="AI12" t="s">
        <v>115</v>
      </c>
      <c r="AJ12" t="s">
        <v>115</v>
      </c>
      <c r="AK12">
        <v>4</v>
      </c>
      <c r="AL12" t="s">
        <v>109</v>
      </c>
      <c r="AM12">
        <v>4</v>
      </c>
      <c r="AN12">
        <v>3</v>
      </c>
      <c r="AO12">
        <v>4</v>
      </c>
      <c r="AP12">
        <v>4</v>
      </c>
      <c r="AQ12">
        <v>4</v>
      </c>
      <c r="AR12">
        <v>3</v>
      </c>
      <c r="AS12" t="s">
        <v>94</v>
      </c>
      <c r="AT12" t="s">
        <v>94</v>
      </c>
      <c r="AU12">
        <v>4</v>
      </c>
      <c r="AV12">
        <v>3</v>
      </c>
      <c r="AW12">
        <v>4</v>
      </c>
      <c r="AX12">
        <v>4</v>
      </c>
      <c r="AY12" t="s">
        <v>94</v>
      </c>
      <c r="AZ12" t="s">
        <v>94</v>
      </c>
      <c r="BA12">
        <v>4</v>
      </c>
      <c r="BB12">
        <v>4</v>
      </c>
      <c r="BC12">
        <v>3</v>
      </c>
      <c r="BD12">
        <v>4</v>
      </c>
      <c r="BE12" t="s">
        <v>94</v>
      </c>
      <c r="BF12" t="s">
        <v>94</v>
      </c>
      <c r="BG12" t="s">
        <v>96</v>
      </c>
      <c r="BH12" t="s">
        <v>96</v>
      </c>
      <c r="BI12" t="s">
        <v>96</v>
      </c>
      <c r="BJ12">
        <v>4</v>
      </c>
      <c r="BK12">
        <v>4</v>
      </c>
      <c r="BL12" t="s">
        <v>96</v>
      </c>
      <c r="BM12" t="s">
        <v>96</v>
      </c>
      <c r="BN12" t="s">
        <v>128</v>
      </c>
      <c r="BO12">
        <v>742.82</v>
      </c>
      <c r="BP12">
        <v>492.31</v>
      </c>
      <c r="CC12">
        <v>250.51</v>
      </c>
    </row>
    <row r="13" spans="1:85" x14ac:dyDescent="0.35">
      <c r="A13">
        <v>272</v>
      </c>
      <c r="B13" t="s">
        <v>129</v>
      </c>
      <c r="C13">
        <v>2</v>
      </c>
      <c r="D13" t="s">
        <v>86</v>
      </c>
      <c r="E13">
        <v>2054338685</v>
      </c>
      <c r="F13" t="s">
        <v>130</v>
      </c>
      <c r="G13" t="s">
        <v>129</v>
      </c>
      <c r="H13" t="s">
        <v>88</v>
      </c>
      <c r="I13" t="s">
        <v>88</v>
      </c>
      <c r="J13" t="s">
        <v>88</v>
      </c>
      <c r="K13" t="s">
        <v>88</v>
      </c>
      <c r="L13" t="s">
        <v>88</v>
      </c>
      <c r="M13" t="s">
        <v>88</v>
      </c>
      <c r="O13" t="s">
        <v>88</v>
      </c>
      <c r="Q13" t="s">
        <v>105</v>
      </c>
      <c r="R13" t="s">
        <v>91</v>
      </c>
      <c r="S13" t="s">
        <v>88</v>
      </c>
      <c r="T13" t="s">
        <v>88</v>
      </c>
      <c r="U13" t="s">
        <v>88</v>
      </c>
      <c r="V13" t="s">
        <v>88</v>
      </c>
      <c r="W13" t="s">
        <v>88</v>
      </c>
      <c r="X13" t="s">
        <v>89</v>
      </c>
      <c r="Y13" t="s">
        <v>89</v>
      </c>
      <c r="AD13" t="s">
        <v>131</v>
      </c>
      <c r="AE13" t="s">
        <v>131</v>
      </c>
      <c r="AF13" t="s">
        <v>92</v>
      </c>
      <c r="AH13" t="s">
        <v>108</v>
      </c>
      <c r="AI13" t="s">
        <v>115</v>
      </c>
      <c r="AJ13">
        <v>2</v>
      </c>
      <c r="AK13">
        <v>3</v>
      </c>
      <c r="AL13" t="s">
        <v>109</v>
      </c>
      <c r="AM13" t="s">
        <v>94</v>
      </c>
      <c r="AN13" t="s">
        <v>94</v>
      </c>
      <c r="AO13">
        <v>3</v>
      </c>
      <c r="AP13">
        <v>3</v>
      </c>
      <c r="AQ13">
        <v>3</v>
      </c>
      <c r="AR13">
        <v>2</v>
      </c>
      <c r="AS13">
        <v>3</v>
      </c>
      <c r="AT13">
        <v>3</v>
      </c>
      <c r="AU13" t="s">
        <v>94</v>
      </c>
      <c r="AV13" t="s">
        <v>94</v>
      </c>
      <c r="AW13" t="s">
        <v>94</v>
      </c>
      <c r="AX13" t="s">
        <v>94</v>
      </c>
      <c r="AY13">
        <v>4</v>
      </c>
      <c r="AZ13">
        <v>3</v>
      </c>
      <c r="BA13">
        <v>4</v>
      </c>
      <c r="BB13" t="s">
        <v>94</v>
      </c>
      <c r="BC13">
        <v>3</v>
      </c>
      <c r="BD13">
        <v>4</v>
      </c>
      <c r="BE13">
        <v>4</v>
      </c>
      <c r="BF13" t="s">
        <v>94</v>
      </c>
      <c r="BG13">
        <v>4</v>
      </c>
      <c r="BH13" t="s">
        <v>96</v>
      </c>
      <c r="BI13" t="s">
        <v>96</v>
      </c>
      <c r="BJ13" t="s">
        <v>96</v>
      </c>
      <c r="BK13" t="s">
        <v>96</v>
      </c>
      <c r="BL13" t="s">
        <v>96</v>
      </c>
      <c r="BM13" t="s">
        <v>96</v>
      </c>
      <c r="BO13">
        <v>847.81</v>
      </c>
      <c r="BP13">
        <v>297.45</v>
      </c>
      <c r="CC13">
        <v>550.36</v>
      </c>
    </row>
    <row r="14" spans="1:85" x14ac:dyDescent="0.35">
      <c r="A14">
        <v>273</v>
      </c>
      <c r="B14" t="s">
        <v>132</v>
      </c>
      <c r="C14">
        <v>2</v>
      </c>
      <c r="D14" t="s">
        <v>86</v>
      </c>
      <c r="E14">
        <v>1085020115</v>
      </c>
      <c r="F14" t="s">
        <v>133</v>
      </c>
      <c r="G14" t="s">
        <v>132</v>
      </c>
      <c r="H14" t="s">
        <v>88</v>
      </c>
      <c r="I14" t="s">
        <v>88</v>
      </c>
      <c r="J14" t="s">
        <v>88</v>
      </c>
      <c r="K14" t="s">
        <v>89</v>
      </c>
      <c r="L14" t="s">
        <v>88</v>
      </c>
      <c r="M14" t="s">
        <v>88</v>
      </c>
      <c r="O14" t="s">
        <v>88</v>
      </c>
      <c r="Q14" t="s">
        <v>105</v>
      </c>
      <c r="R14" t="s">
        <v>91</v>
      </c>
      <c r="S14" t="s">
        <v>88</v>
      </c>
      <c r="T14" t="s">
        <v>88</v>
      </c>
      <c r="U14" t="s">
        <v>88</v>
      </c>
      <c r="V14" t="s">
        <v>89</v>
      </c>
      <c r="W14" t="s">
        <v>88</v>
      </c>
      <c r="X14" t="s">
        <v>89</v>
      </c>
      <c r="Y14" t="s">
        <v>89</v>
      </c>
      <c r="AD14">
        <v>4</v>
      </c>
      <c r="AE14">
        <v>3</v>
      </c>
      <c r="AF14" t="s">
        <v>92</v>
      </c>
      <c r="AG14" t="s">
        <v>134</v>
      </c>
      <c r="AH14" t="s">
        <v>108</v>
      </c>
      <c r="AI14">
        <v>2</v>
      </c>
      <c r="AJ14">
        <v>2</v>
      </c>
      <c r="AK14">
        <v>3</v>
      </c>
      <c r="AL14" t="s">
        <v>109</v>
      </c>
      <c r="AM14" t="s">
        <v>94</v>
      </c>
      <c r="AN14" t="s">
        <v>94</v>
      </c>
      <c r="AO14">
        <v>3</v>
      </c>
      <c r="AP14">
        <v>3</v>
      </c>
      <c r="AQ14">
        <v>2</v>
      </c>
      <c r="AR14">
        <v>2</v>
      </c>
      <c r="AS14">
        <v>2</v>
      </c>
      <c r="AT14">
        <v>2</v>
      </c>
      <c r="AU14" t="s">
        <v>94</v>
      </c>
      <c r="AV14" t="s">
        <v>94</v>
      </c>
      <c r="AW14">
        <v>3</v>
      </c>
      <c r="AX14">
        <v>3</v>
      </c>
      <c r="AY14">
        <v>3</v>
      </c>
      <c r="AZ14">
        <v>2</v>
      </c>
      <c r="BA14">
        <v>3</v>
      </c>
      <c r="BB14">
        <v>2</v>
      </c>
      <c r="BC14">
        <v>4</v>
      </c>
      <c r="BD14" t="s">
        <v>94</v>
      </c>
      <c r="BE14">
        <v>3</v>
      </c>
      <c r="BF14">
        <v>3</v>
      </c>
      <c r="BG14" t="s">
        <v>96</v>
      </c>
      <c r="BH14" t="s">
        <v>96</v>
      </c>
      <c r="BI14" t="s">
        <v>96</v>
      </c>
      <c r="BJ14" t="s">
        <v>96</v>
      </c>
      <c r="BK14" t="s">
        <v>96</v>
      </c>
      <c r="BL14" t="s">
        <v>96</v>
      </c>
      <c r="BM14" t="s">
        <v>96</v>
      </c>
      <c r="BO14">
        <v>292.92</v>
      </c>
      <c r="BP14">
        <v>134.59</v>
      </c>
      <c r="CC14">
        <v>158.33000000000001</v>
      </c>
    </row>
    <row r="15" spans="1:85" x14ac:dyDescent="0.35">
      <c r="A15">
        <v>274</v>
      </c>
      <c r="C15">
        <v>0</v>
      </c>
      <c r="D15" t="s">
        <v>86</v>
      </c>
      <c r="E15">
        <v>1774921004</v>
      </c>
      <c r="F15" t="s">
        <v>135</v>
      </c>
      <c r="G15" t="s">
        <v>136</v>
      </c>
      <c r="H15" t="s">
        <v>89</v>
      </c>
      <c r="I15" t="s">
        <v>89</v>
      </c>
      <c r="J15" t="s">
        <v>89</v>
      </c>
      <c r="K15" t="s">
        <v>89</v>
      </c>
      <c r="L15" t="s">
        <v>89</v>
      </c>
      <c r="M15" t="s">
        <v>89</v>
      </c>
      <c r="O15" t="s">
        <v>99</v>
      </c>
      <c r="S15" t="s">
        <v>89</v>
      </c>
      <c r="T15" t="s">
        <v>89</v>
      </c>
      <c r="U15" t="s">
        <v>89</v>
      </c>
      <c r="V15" t="s">
        <v>89</v>
      </c>
      <c r="W15" t="s">
        <v>89</v>
      </c>
      <c r="X15" t="s">
        <v>89</v>
      </c>
      <c r="Y15" t="s">
        <v>89</v>
      </c>
      <c r="BO15">
        <v>21.78</v>
      </c>
      <c r="BP15">
        <v>21.78</v>
      </c>
    </row>
    <row r="16" spans="1:85" x14ac:dyDescent="0.35">
      <c r="A16">
        <v>275</v>
      </c>
      <c r="B16" t="s">
        <v>137</v>
      </c>
      <c r="C16">
        <v>2</v>
      </c>
      <c r="D16" t="s">
        <v>86</v>
      </c>
      <c r="E16">
        <v>1389996388</v>
      </c>
      <c r="F16" t="s">
        <v>138</v>
      </c>
      <c r="G16" t="s">
        <v>137</v>
      </c>
      <c r="H16" t="s">
        <v>88</v>
      </c>
      <c r="I16" t="s">
        <v>88</v>
      </c>
      <c r="J16" t="s">
        <v>89</v>
      </c>
      <c r="K16" t="s">
        <v>89</v>
      </c>
      <c r="L16" t="s">
        <v>89</v>
      </c>
      <c r="M16" t="s">
        <v>89</v>
      </c>
      <c r="O16" t="s">
        <v>88</v>
      </c>
      <c r="Q16" t="s">
        <v>139</v>
      </c>
      <c r="R16" t="s">
        <v>91</v>
      </c>
      <c r="S16" t="s">
        <v>88</v>
      </c>
      <c r="T16" t="s">
        <v>88</v>
      </c>
      <c r="U16" t="s">
        <v>89</v>
      </c>
      <c r="V16" t="s">
        <v>89</v>
      </c>
      <c r="W16" t="s">
        <v>88</v>
      </c>
      <c r="X16" t="s">
        <v>89</v>
      </c>
      <c r="Y16" t="s">
        <v>89</v>
      </c>
      <c r="AD16">
        <v>3</v>
      </c>
      <c r="AE16" t="s">
        <v>92</v>
      </c>
      <c r="AF16" t="s">
        <v>92</v>
      </c>
      <c r="AG16" t="s">
        <v>140</v>
      </c>
      <c r="AH16" t="s">
        <v>93</v>
      </c>
      <c r="AI16">
        <v>3</v>
      </c>
      <c r="AJ16">
        <v>2</v>
      </c>
      <c r="AK16">
        <v>4</v>
      </c>
      <c r="AL16" t="s">
        <v>109</v>
      </c>
      <c r="AM16">
        <v>3</v>
      </c>
      <c r="AN16">
        <v>3</v>
      </c>
      <c r="AO16">
        <v>3</v>
      </c>
      <c r="AP16">
        <v>3</v>
      </c>
      <c r="AQ16">
        <v>3</v>
      </c>
      <c r="AR16">
        <v>3</v>
      </c>
      <c r="AS16">
        <v>3</v>
      </c>
      <c r="AT16">
        <v>3</v>
      </c>
      <c r="AU16">
        <v>3</v>
      </c>
      <c r="AV16">
        <v>3</v>
      </c>
      <c r="AW16">
        <v>3</v>
      </c>
      <c r="AX16">
        <v>3</v>
      </c>
      <c r="AY16">
        <v>3</v>
      </c>
      <c r="AZ16">
        <v>3</v>
      </c>
      <c r="BA16">
        <v>2</v>
      </c>
      <c r="BB16" t="s">
        <v>95</v>
      </c>
      <c r="BC16">
        <v>3</v>
      </c>
      <c r="BD16">
        <v>3</v>
      </c>
      <c r="BE16">
        <v>3</v>
      </c>
      <c r="BF16">
        <v>3</v>
      </c>
      <c r="BG16">
        <v>4</v>
      </c>
      <c r="BH16">
        <v>4</v>
      </c>
      <c r="BI16">
        <v>4</v>
      </c>
      <c r="BJ16">
        <v>4</v>
      </c>
      <c r="BK16">
        <v>4</v>
      </c>
      <c r="BL16">
        <v>4</v>
      </c>
      <c r="BM16">
        <v>4</v>
      </c>
      <c r="BN16" t="s">
        <v>141</v>
      </c>
      <c r="BO16">
        <v>366.66</v>
      </c>
      <c r="BP16">
        <v>188.02</v>
      </c>
      <c r="CC16">
        <v>178.64</v>
      </c>
    </row>
    <row r="17" spans="1:81" x14ac:dyDescent="0.35">
      <c r="A17">
        <v>276</v>
      </c>
      <c r="C17">
        <v>0</v>
      </c>
      <c r="D17" t="s">
        <v>86</v>
      </c>
      <c r="E17">
        <v>610748237</v>
      </c>
      <c r="F17" t="s">
        <v>142</v>
      </c>
      <c r="G17" t="s">
        <v>142</v>
      </c>
      <c r="H17" t="s">
        <v>99</v>
      </c>
      <c r="I17" t="s">
        <v>99</v>
      </c>
      <c r="J17" t="s">
        <v>99</v>
      </c>
      <c r="K17" t="s">
        <v>99</v>
      </c>
      <c r="L17" t="s">
        <v>99</v>
      </c>
      <c r="M17" t="s">
        <v>99</v>
      </c>
      <c r="O17" t="s">
        <v>99</v>
      </c>
      <c r="S17" t="s">
        <v>99</v>
      </c>
      <c r="T17" t="s">
        <v>99</v>
      </c>
      <c r="U17" t="s">
        <v>99</v>
      </c>
      <c r="V17" t="s">
        <v>99</v>
      </c>
      <c r="W17" t="s">
        <v>99</v>
      </c>
      <c r="X17" t="s">
        <v>99</v>
      </c>
      <c r="Y17" t="s">
        <v>99</v>
      </c>
      <c r="BO17">
        <v>0</v>
      </c>
    </row>
    <row r="18" spans="1:81" x14ac:dyDescent="0.35">
      <c r="A18">
        <v>277</v>
      </c>
      <c r="C18">
        <v>0</v>
      </c>
      <c r="D18" t="s">
        <v>86</v>
      </c>
      <c r="E18">
        <v>199978520</v>
      </c>
      <c r="F18" t="s">
        <v>143</v>
      </c>
      <c r="G18" t="s">
        <v>143</v>
      </c>
      <c r="H18" t="s">
        <v>99</v>
      </c>
      <c r="I18" t="s">
        <v>99</v>
      </c>
      <c r="J18" t="s">
        <v>99</v>
      </c>
      <c r="K18" t="s">
        <v>99</v>
      </c>
      <c r="L18" t="s">
        <v>99</v>
      </c>
      <c r="M18" t="s">
        <v>99</v>
      </c>
      <c r="O18" t="s">
        <v>99</v>
      </c>
      <c r="S18" t="s">
        <v>99</v>
      </c>
      <c r="T18" t="s">
        <v>99</v>
      </c>
      <c r="U18" t="s">
        <v>99</v>
      </c>
      <c r="V18" t="s">
        <v>99</v>
      </c>
      <c r="W18" t="s">
        <v>99</v>
      </c>
      <c r="X18" t="s">
        <v>99</v>
      </c>
      <c r="Y18" t="s">
        <v>99</v>
      </c>
      <c r="BO18">
        <v>0</v>
      </c>
    </row>
    <row r="19" spans="1:81" x14ac:dyDescent="0.35">
      <c r="A19">
        <v>278</v>
      </c>
      <c r="C19">
        <v>0</v>
      </c>
      <c r="D19" t="s">
        <v>86</v>
      </c>
      <c r="E19">
        <v>1087088924</v>
      </c>
      <c r="F19" t="s">
        <v>144</v>
      </c>
      <c r="G19" t="s">
        <v>144</v>
      </c>
      <c r="H19" t="s">
        <v>99</v>
      </c>
      <c r="I19" t="s">
        <v>99</v>
      </c>
      <c r="J19" t="s">
        <v>99</v>
      </c>
      <c r="K19" t="s">
        <v>99</v>
      </c>
      <c r="L19" t="s">
        <v>99</v>
      </c>
      <c r="M19" t="s">
        <v>99</v>
      </c>
      <c r="O19" t="s">
        <v>99</v>
      </c>
      <c r="S19" t="s">
        <v>99</v>
      </c>
      <c r="T19" t="s">
        <v>99</v>
      </c>
      <c r="U19" t="s">
        <v>99</v>
      </c>
      <c r="V19" t="s">
        <v>99</v>
      </c>
      <c r="W19" t="s">
        <v>99</v>
      </c>
      <c r="X19" t="s">
        <v>99</v>
      </c>
      <c r="Y19" t="s">
        <v>99</v>
      </c>
      <c r="BO19">
        <v>0</v>
      </c>
    </row>
    <row r="20" spans="1:81" x14ac:dyDescent="0.35">
      <c r="A20">
        <v>279</v>
      </c>
      <c r="C20">
        <v>1</v>
      </c>
      <c r="D20" t="s">
        <v>86</v>
      </c>
      <c r="E20">
        <v>811039597</v>
      </c>
      <c r="F20" t="s">
        <v>145</v>
      </c>
      <c r="G20" t="s">
        <v>146</v>
      </c>
      <c r="H20" t="s">
        <v>89</v>
      </c>
      <c r="I20" t="s">
        <v>89</v>
      </c>
      <c r="J20" t="s">
        <v>89</v>
      </c>
      <c r="K20" t="s">
        <v>89</v>
      </c>
      <c r="L20" t="s">
        <v>89</v>
      </c>
      <c r="M20" t="s">
        <v>88</v>
      </c>
      <c r="O20" t="s">
        <v>89</v>
      </c>
      <c r="P20" t="s">
        <v>147</v>
      </c>
      <c r="Q20" t="s">
        <v>148</v>
      </c>
      <c r="S20" t="s">
        <v>89</v>
      </c>
      <c r="T20" t="s">
        <v>88</v>
      </c>
      <c r="U20" t="s">
        <v>88</v>
      </c>
      <c r="V20" t="s">
        <v>88</v>
      </c>
      <c r="W20" t="s">
        <v>88</v>
      </c>
      <c r="X20" t="s">
        <v>88</v>
      </c>
      <c r="Y20" t="s">
        <v>89</v>
      </c>
      <c r="AH20" t="s">
        <v>149</v>
      </c>
      <c r="BO20">
        <v>106.59</v>
      </c>
      <c r="BP20">
        <v>106.59</v>
      </c>
    </row>
    <row r="21" spans="1:81" x14ac:dyDescent="0.35">
      <c r="A21">
        <v>280</v>
      </c>
      <c r="B21" t="s">
        <v>150</v>
      </c>
      <c r="C21">
        <v>2</v>
      </c>
      <c r="D21" t="s">
        <v>86</v>
      </c>
      <c r="E21">
        <v>1434133676</v>
      </c>
      <c r="F21" t="s">
        <v>151</v>
      </c>
      <c r="G21" t="s">
        <v>150</v>
      </c>
      <c r="H21" t="s">
        <v>88</v>
      </c>
      <c r="I21" t="s">
        <v>89</v>
      </c>
      <c r="J21" t="s">
        <v>89</v>
      </c>
      <c r="K21" t="s">
        <v>89</v>
      </c>
      <c r="L21" t="s">
        <v>89</v>
      </c>
      <c r="M21" t="s">
        <v>89</v>
      </c>
      <c r="O21" t="s">
        <v>89</v>
      </c>
      <c r="P21" t="s">
        <v>152</v>
      </c>
      <c r="Q21" t="s">
        <v>90</v>
      </c>
      <c r="S21" t="s">
        <v>89</v>
      </c>
      <c r="T21" t="s">
        <v>88</v>
      </c>
      <c r="U21" t="s">
        <v>88</v>
      </c>
      <c r="V21" t="s">
        <v>88</v>
      </c>
      <c r="W21" t="s">
        <v>88</v>
      </c>
      <c r="X21" t="s">
        <v>88</v>
      </c>
      <c r="Y21" t="s">
        <v>88</v>
      </c>
      <c r="AG21" t="s">
        <v>153</v>
      </c>
      <c r="AH21" t="s">
        <v>93</v>
      </c>
      <c r="AI21" t="s">
        <v>115</v>
      </c>
      <c r="AJ21">
        <v>3</v>
      </c>
      <c r="AK21">
        <v>2</v>
      </c>
      <c r="AL21" t="s">
        <v>109</v>
      </c>
      <c r="AM21">
        <v>2</v>
      </c>
      <c r="AN21">
        <v>2</v>
      </c>
      <c r="AO21">
        <v>4</v>
      </c>
      <c r="AP21">
        <v>4</v>
      </c>
      <c r="AQ21">
        <v>3</v>
      </c>
      <c r="AR21">
        <v>4</v>
      </c>
      <c r="AS21">
        <v>3</v>
      </c>
      <c r="AT21">
        <v>4</v>
      </c>
      <c r="AU21">
        <v>4</v>
      </c>
      <c r="AV21">
        <v>2</v>
      </c>
      <c r="AW21">
        <v>2</v>
      </c>
      <c r="AX21">
        <v>2</v>
      </c>
      <c r="AY21" t="s">
        <v>94</v>
      </c>
      <c r="AZ21" t="s">
        <v>94</v>
      </c>
      <c r="BA21">
        <v>3</v>
      </c>
      <c r="BB21">
        <v>4</v>
      </c>
      <c r="BC21">
        <v>4</v>
      </c>
      <c r="BD21">
        <v>4</v>
      </c>
      <c r="BE21">
        <v>4</v>
      </c>
      <c r="BF21" t="s">
        <v>94</v>
      </c>
      <c r="BG21" t="s">
        <v>96</v>
      </c>
      <c r="BH21">
        <v>4</v>
      </c>
      <c r="BI21">
        <v>3</v>
      </c>
      <c r="BJ21">
        <v>3</v>
      </c>
      <c r="BK21">
        <v>3</v>
      </c>
      <c r="BL21">
        <v>4</v>
      </c>
      <c r="BM21">
        <v>4</v>
      </c>
      <c r="BN21" t="s">
        <v>154</v>
      </c>
      <c r="BO21">
        <v>473.39</v>
      </c>
      <c r="BP21">
        <v>174.57</v>
      </c>
      <c r="CC21">
        <v>298.82</v>
      </c>
    </row>
    <row r="22" spans="1:81" x14ac:dyDescent="0.35">
      <c r="A22">
        <v>281</v>
      </c>
      <c r="B22" t="s">
        <v>155</v>
      </c>
      <c r="C22">
        <v>2</v>
      </c>
      <c r="D22" t="s">
        <v>86</v>
      </c>
      <c r="E22">
        <v>354715751</v>
      </c>
      <c r="F22" t="s">
        <v>156</v>
      </c>
      <c r="G22" t="s">
        <v>155</v>
      </c>
      <c r="H22" t="s">
        <v>88</v>
      </c>
      <c r="I22" t="s">
        <v>89</v>
      </c>
      <c r="J22" t="s">
        <v>89</v>
      </c>
      <c r="K22" t="s">
        <v>89</v>
      </c>
      <c r="L22" t="s">
        <v>88</v>
      </c>
      <c r="M22" t="s">
        <v>88</v>
      </c>
      <c r="O22" t="s">
        <v>88</v>
      </c>
      <c r="Q22" t="s">
        <v>90</v>
      </c>
      <c r="R22" t="s">
        <v>91</v>
      </c>
      <c r="S22" t="s">
        <v>88</v>
      </c>
      <c r="T22" t="s">
        <v>88</v>
      </c>
      <c r="U22" t="s">
        <v>89</v>
      </c>
      <c r="V22" t="s">
        <v>89</v>
      </c>
      <c r="W22" t="s">
        <v>88</v>
      </c>
      <c r="X22" t="s">
        <v>88</v>
      </c>
      <c r="Y22" t="s">
        <v>88</v>
      </c>
      <c r="AD22" t="s">
        <v>131</v>
      </c>
      <c r="AE22" t="s">
        <v>92</v>
      </c>
      <c r="AF22" t="s">
        <v>131</v>
      </c>
      <c r="AH22" t="s">
        <v>149</v>
      </c>
      <c r="AI22">
        <v>3</v>
      </c>
      <c r="AJ22">
        <v>4</v>
      </c>
      <c r="AK22">
        <v>4</v>
      </c>
      <c r="AL22" t="s">
        <v>109</v>
      </c>
      <c r="AM22">
        <v>3</v>
      </c>
      <c r="AN22">
        <v>3</v>
      </c>
      <c r="AO22">
        <v>2</v>
      </c>
      <c r="AP22">
        <v>2</v>
      </c>
      <c r="AQ22">
        <v>2</v>
      </c>
      <c r="AR22">
        <v>2</v>
      </c>
      <c r="AS22" t="s">
        <v>95</v>
      </c>
      <c r="AT22" t="s">
        <v>95</v>
      </c>
      <c r="AU22">
        <v>4</v>
      </c>
      <c r="AV22">
        <v>4</v>
      </c>
      <c r="AW22">
        <v>2</v>
      </c>
      <c r="AX22">
        <v>2</v>
      </c>
      <c r="AY22">
        <v>3</v>
      </c>
      <c r="AZ22">
        <v>3</v>
      </c>
      <c r="BA22">
        <v>2</v>
      </c>
      <c r="BB22">
        <v>3</v>
      </c>
      <c r="BC22">
        <v>3</v>
      </c>
      <c r="BD22">
        <v>3</v>
      </c>
      <c r="BE22">
        <v>2</v>
      </c>
      <c r="BF22">
        <v>3</v>
      </c>
      <c r="BG22">
        <v>4</v>
      </c>
      <c r="BH22">
        <v>4</v>
      </c>
      <c r="BI22">
        <v>4</v>
      </c>
      <c r="BJ22">
        <v>4</v>
      </c>
      <c r="BK22">
        <v>3</v>
      </c>
      <c r="BL22">
        <v>4</v>
      </c>
      <c r="BM22">
        <v>3</v>
      </c>
      <c r="BO22">
        <v>243.93</v>
      </c>
      <c r="BP22">
        <v>104.48</v>
      </c>
      <c r="CC22">
        <v>139.44999999999999</v>
      </c>
    </row>
    <row r="23" spans="1:81" x14ac:dyDescent="0.35">
      <c r="A23">
        <v>282</v>
      </c>
      <c r="B23" t="s">
        <v>157</v>
      </c>
      <c r="C23">
        <v>2</v>
      </c>
      <c r="D23" t="s">
        <v>86</v>
      </c>
      <c r="E23">
        <v>258123832</v>
      </c>
      <c r="F23" t="s">
        <v>158</v>
      </c>
      <c r="G23" t="s">
        <v>157</v>
      </c>
      <c r="H23" t="s">
        <v>89</v>
      </c>
      <c r="I23" t="s">
        <v>89</v>
      </c>
      <c r="J23" t="s">
        <v>89</v>
      </c>
      <c r="K23" t="s">
        <v>89</v>
      </c>
      <c r="L23" t="s">
        <v>89</v>
      </c>
      <c r="M23" t="s">
        <v>88</v>
      </c>
      <c r="O23" t="s">
        <v>88</v>
      </c>
      <c r="Q23" t="s">
        <v>148</v>
      </c>
      <c r="R23" t="s">
        <v>89</v>
      </c>
      <c r="S23" t="s">
        <v>89</v>
      </c>
      <c r="T23" t="s">
        <v>88</v>
      </c>
      <c r="U23" t="s">
        <v>89</v>
      </c>
      <c r="V23" t="s">
        <v>89</v>
      </c>
      <c r="W23" t="s">
        <v>88</v>
      </c>
      <c r="X23" t="s">
        <v>88</v>
      </c>
      <c r="Y23" t="s">
        <v>88</v>
      </c>
      <c r="AD23" t="s">
        <v>92</v>
      </c>
      <c r="AE23" t="s">
        <v>92</v>
      </c>
      <c r="AF23" t="s">
        <v>92</v>
      </c>
      <c r="AG23" t="s">
        <v>159</v>
      </c>
      <c r="AH23" t="s">
        <v>149</v>
      </c>
      <c r="AI23">
        <v>3</v>
      </c>
      <c r="AJ23">
        <v>2</v>
      </c>
      <c r="AK23" t="s">
        <v>115</v>
      </c>
      <c r="AL23" t="s">
        <v>109</v>
      </c>
      <c r="AM23">
        <v>4</v>
      </c>
      <c r="AN23">
        <v>4</v>
      </c>
      <c r="AO23">
        <v>2</v>
      </c>
      <c r="AP23" t="s">
        <v>95</v>
      </c>
      <c r="AQ23" t="s">
        <v>95</v>
      </c>
      <c r="AR23" t="s">
        <v>95</v>
      </c>
      <c r="AS23" t="s">
        <v>95</v>
      </c>
      <c r="AT23" t="s">
        <v>95</v>
      </c>
      <c r="AU23">
        <v>3</v>
      </c>
      <c r="AV23" t="s">
        <v>94</v>
      </c>
      <c r="AW23" t="s">
        <v>94</v>
      </c>
      <c r="AX23" t="s">
        <v>94</v>
      </c>
      <c r="AY23" t="s">
        <v>95</v>
      </c>
      <c r="AZ23" t="s">
        <v>95</v>
      </c>
      <c r="BA23" t="s">
        <v>94</v>
      </c>
      <c r="BB23" t="s">
        <v>94</v>
      </c>
      <c r="BC23" t="s">
        <v>94</v>
      </c>
      <c r="BD23">
        <v>3</v>
      </c>
      <c r="BE23">
        <v>3</v>
      </c>
      <c r="BF23">
        <v>3</v>
      </c>
      <c r="BG23">
        <v>3</v>
      </c>
      <c r="BH23" t="s">
        <v>96</v>
      </c>
      <c r="BI23" t="s">
        <v>96</v>
      </c>
      <c r="BJ23" t="s">
        <v>96</v>
      </c>
      <c r="BK23" t="s">
        <v>96</v>
      </c>
      <c r="BL23" t="s">
        <v>96</v>
      </c>
      <c r="BM23" t="s">
        <v>96</v>
      </c>
      <c r="BO23">
        <v>278.45999999999998</v>
      </c>
      <c r="BP23">
        <v>181.87</v>
      </c>
      <c r="CC23">
        <v>96.59</v>
      </c>
    </row>
    <row r="24" spans="1:81" x14ac:dyDescent="0.35">
      <c r="A24">
        <v>283</v>
      </c>
      <c r="B24" t="s">
        <v>160</v>
      </c>
      <c r="C24">
        <v>2</v>
      </c>
      <c r="D24" t="s">
        <v>86</v>
      </c>
      <c r="E24">
        <v>1532451537</v>
      </c>
      <c r="F24" t="s">
        <v>161</v>
      </c>
      <c r="G24" t="s">
        <v>162</v>
      </c>
      <c r="H24" t="s">
        <v>89</v>
      </c>
      <c r="I24" t="s">
        <v>89</v>
      </c>
      <c r="J24" t="s">
        <v>89</v>
      </c>
      <c r="K24" t="s">
        <v>89</v>
      </c>
      <c r="L24" t="s">
        <v>89</v>
      </c>
      <c r="M24" t="s">
        <v>88</v>
      </c>
      <c r="O24" t="s">
        <v>89</v>
      </c>
      <c r="P24" t="s">
        <v>163</v>
      </c>
      <c r="Q24" t="s">
        <v>90</v>
      </c>
      <c r="S24" t="s">
        <v>89</v>
      </c>
      <c r="T24" t="s">
        <v>88</v>
      </c>
      <c r="U24" t="s">
        <v>89</v>
      </c>
      <c r="V24" t="s">
        <v>89</v>
      </c>
      <c r="W24" t="s">
        <v>88</v>
      </c>
      <c r="X24" t="s">
        <v>89</v>
      </c>
      <c r="Y24" t="s">
        <v>89</v>
      </c>
      <c r="AH24" t="s">
        <v>149</v>
      </c>
      <c r="AI24">
        <v>2</v>
      </c>
      <c r="AJ24">
        <v>4</v>
      </c>
      <c r="AK24">
        <v>3</v>
      </c>
      <c r="AL24" t="s">
        <v>109</v>
      </c>
      <c r="AM24">
        <v>4</v>
      </c>
      <c r="AN24">
        <v>3</v>
      </c>
      <c r="AO24">
        <v>4</v>
      </c>
      <c r="AP24">
        <v>3</v>
      </c>
      <c r="AQ24">
        <v>3</v>
      </c>
      <c r="AR24">
        <v>2</v>
      </c>
      <c r="AS24">
        <v>2</v>
      </c>
      <c r="AT24">
        <v>2</v>
      </c>
      <c r="AU24" t="s">
        <v>94</v>
      </c>
      <c r="AV24" t="s">
        <v>94</v>
      </c>
      <c r="AW24">
        <v>4</v>
      </c>
      <c r="AX24" t="s">
        <v>94</v>
      </c>
      <c r="AY24" t="s">
        <v>94</v>
      </c>
      <c r="AZ24">
        <v>3</v>
      </c>
      <c r="BA24">
        <v>4</v>
      </c>
      <c r="BB24">
        <v>3</v>
      </c>
      <c r="BC24" t="s">
        <v>95</v>
      </c>
      <c r="BD24" t="s">
        <v>95</v>
      </c>
      <c r="BE24">
        <v>3</v>
      </c>
      <c r="BF24">
        <v>3</v>
      </c>
      <c r="BG24">
        <v>3</v>
      </c>
      <c r="BH24">
        <v>3</v>
      </c>
      <c r="BI24">
        <v>4</v>
      </c>
      <c r="BJ24">
        <v>4</v>
      </c>
      <c r="BK24">
        <v>4</v>
      </c>
      <c r="BL24" t="s">
        <v>96</v>
      </c>
      <c r="BM24">
        <v>4</v>
      </c>
      <c r="BO24">
        <v>194.55</v>
      </c>
      <c r="BP24">
        <v>94.56</v>
      </c>
      <c r="CC24">
        <v>99.99</v>
      </c>
    </row>
    <row r="25" spans="1:81" x14ac:dyDescent="0.35">
      <c r="A25">
        <v>284</v>
      </c>
      <c r="B25" t="s">
        <v>164</v>
      </c>
      <c r="C25">
        <v>2</v>
      </c>
      <c r="D25" t="s">
        <v>86</v>
      </c>
      <c r="E25">
        <v>923910115</v>
      </c>
      <c r="F25" t="s">
        <v>165</v>
      </c>
      <c r="G25" t="s">
        <v>164</v>
      </c>
      <c r="H25" t="s">
        <v>89</v>
      </c>
      <c r="I25" t="s">
        <v>89</v>
      </c>
      <c r="J25" t="s">
        <v>88</v>
      </c>
      <c r="K25" t="s">
        <v>89</v>
      </c>
      <c r="L25" t="s">
        <v>89</v>
      </c>
      <c r="M25" t="s">
        <v>89</v>
      </c>
      <c r="O25" t="s">
        <v>89</v>
      </c>
      <c r="P25" t="s">
        <v>166</v>
      </c>
      <c r="Q25" t="s">
        <v>105</v>
      </c>
      <c r="S25" t="s">
        <v>88</v>
      </c>
      <c r="T25" t="s">
        <v>88</v>
      </c>
      <c r="U25" t="s">
        <v>89</v>
      </c>
      <c r="V25" t="s">
        <v>89</v>
      </c>
      <c r="W25" t="s">
        <v>88</v>
      </c>
      <c r="X25" t="s">
        <v>89</v>
      </c>
      <c r="Y25" t="s">
        <v>89</v>
      </c>
      <c r="AH25" t="s">
        <v>149</v>
      </c>
      <c r="AI25" t="s">
        <v>109</v>
      </c>
      <c r="AJ25">
        <v>4</v>
      </c>
      <c r="AK25" t="s">
        <v>109</v>
      </c>
      <c r="AL25">
        <v>4</v>
      </c>
      <c r="AM25" t="s">
        <v>94</v>
      </c>
      <c r="AN25" t="s">
        <v>94</v>
      </c>
      <c r="AO25">
        <v>3</v>
      </c>
      <c r="AP25">
        <v>3</v>
      </c>
      <c r="AQ25">
        <v>3</v>
      </c>
      <c r="AR25">
        <v>3</v>
      </c>
      <c r="AS25">
        <v>4</v>
      </c>
      <c r="AT25">
        <v>4</v>
      </c>
      <c r="AU25">
        <v>4</v>
      </c>
      <c r="AV25">
        <v>4</v>
      </c>
      <c r="AW25" t="s">
        <v>94</v>
      </c>
      <c r="AX25">
        <v>4</v>
      </c>
      <c r="AY25" t="s">
        <v>94</v>
      </c>
      <c r="AZ25">
        <v>2</v>
      </c>
      <c r="BA25">
        <v>4</v>
      </c>
      <c r="BB25">
        <v>4</v>
      </c>
      <c r="BC25">
        <v>4</v>
      </c>
      <c r="BD25">
        <v>4</v>
      </c>
      <c r="BE25">
        <v>2</v>
      </c>
      <c r="BF25">
        <v>2</v>
      </c>
      <c r="BG25">
        <v>4</v>
      </c>
      <c r="BH25" t="s">
        <v>96</v>
      </c>
      <c r="BI25">
        <v>3</v>
      </c>
      <c r="BJ25" t="s">
        <v>96</v>
      </c>
      <c r="BK25" t="s">
        <v>96</v>
      </c>
      <c r="BL25">
        <v>4</v>
      </c>
      <c r="BM25" t="s">
        <v>96</v>
      </c>
      <c r="BO25">
        <v>415.94</v>
      </c>
      <c r="BP25">
        <v>175.91</v>
      </c>
      <c r="CC25">
        <v>240.03</v>
      </c>
    </row>
    <row r="26" spans="1:81" x14ac:dyDescent="0.35">
      <c r="A26">
        <v>285</v>
      </c>
      <c r="C26">
        <v>0</v>
      </c>
      <c r="D26" t="s">
        <v>86</v>
      </c>
      <c r="E26">
        <v>175383225</v>
      </c>
      <c r="F26" t="s">
        <v>167</v>
      </c>
      <c r="G26" t="s">
        <v>167</v>
      </c>
      <c r="H26" t="s">
        <v>99</v>
      </c>
      <c r="I26" t="s">
        <v>99</v>
      </c>
      <c r="J26" t="s">
        <v>99</v>
      </c>
      <c r="K26" t="s">
        <v>99</v>
      </c>
      <c r="L26" t="s">
        <v>99</v>
      </c>
      <c r="M26" t="s">
        <v>99</v>
      </c>
      <c r="O26" t="s">
        <v>99</v>
      </c>
      <c r="S26" t="s">
        <v>99</v>
      </c>
      <c r="T26" t="s">
        <v>99</v>
      </c>
      <c r="U26" t="s">
        <v>99</v>
      </c>
      <c r="V26" t="s">
        <v>99</v>
      </c>
      <c r="W26" t="s">
        <v>99</v>
      </c>
      <c r="X26" t="s">
        <v>99</v>
      </c>
      <c r="Y26" t="s">
        <v>99</v>
      </c>
      <c r="BO26">
        <v>0</v>
      </c>
    </row>
    <row r="27" spans="1:81" x14ac:dyDescent="0.35">
      <c r="A27">
        <v>286</v>
      </c>
      <c r="B27" t="s">
        <v>168</v>
      </c>
      <c r="C27">
        <v>2</v>
      </c>
      <c r="D27" t="s">
        <v>86</v>
      </c>
      <c r="E27">
        <v>321473758</v>
      </c>
      <c r="F27" t="s">
        <v>169</v>
      </c>
      <c r="G27" t="s">
        <v>168</v>
      </c>
      <c r="H27" t="s">
        <v>88</v>
      </c>
      <c r="I27" t="s">
        <v>89</v>
      </c>
      <c r="J27" t="s">
        <v>88</v>
      </c>
      <c r="K27" t="s">
        <v>89</v>
      </c>
      <c r="L27" t="s">
        <v>88</v>
      </c>
      <c r="M27" t="s">
        <v>88</v>
      </c>
      <c r="O27" t="s">
        <v>88</v>
      </c>
      <c r="Q27" t="s">
        <v>148</v>
      </c>
      <c r="R27" t="s">
        <v>91</v>
      </c>
      <c r="S27" t="s">
        <v>89</v>
      </c>
      <c r="T27" t="s">
        <v>88</v>
      </c>
      <c r="U27" t="s">
        <v>89</v>
      </c>
      <c r="V27" t="s">
        <v>89</v>
      </c>
      <c r="W27" t="s">
        <v>88</v>
      </c>
      <c r="X27" t="s">
        <v>89</v>
      </c>
      <c r="Y27" t="s">
        <v>89</v>
      </c>
      <c r="Z27" t="s">
        <v>170</v>
      </c>
      <c r="AD27" t="s">
        <v>131</v>
      </c>
      <c r="AE27" t="s">
        <v>92</v>
      </c>
      <c r="AF27" t="s">
        <v>92</v>
      </c>
      <c r="AH27" t="s">
        <v>108</v>
      </c>
      <c r="AI27">
        <v>3</v>
      </c>
      <c r="AJ27">
        <v>3</v>
      </c>
      <c r="AK27" t="s">
        <v>109</v>
      </c>
      <c r="AL27" t="s">
        <v>109</v>
      </c>
      <c r="AM27" t="s">
        <v>94</v>
      </c>
      <c r="AN27" t="s">
        <v>94</v>
      </c>
      <c r="AO27">
        <v>3</v>
      </c>
      <c r="AP27">
        <v>3</v>
      </c>
      <c r="AQ27">
        <v>3</v>
      </c>
      <c r="AR27">
        <v>3</v>
      </c>
      <c r="AS27">
        <v>4</v>
      </c>
      <c r="AT27">
        <v>4</v>
      </c>
      <c r="AU27">
        <v>4</v>
      </c>
      <c r="AV27">
        <v>4</v>
      </c>
      <c r="AW27" t="s">
        <v>94</v>
      </c>
      <c r="AX27" t="s">
        <v>94</v>
      </c>
      <c r="AY27">
        <v>3</v>
      </c>
      <c r="AZ27" t="s">
        <v>94</v>
      </c>
      <c r="BA27">
        <v>3</v>
      </c>
      <c r="BB27" t="s">
        <v>94</v>
      </c>
      <c r="BC27">
        <v>4</v>
      </c>
      <c r="BD27">
        <v>4</v>
      </c>
      <c r="BE27">
        <v>3</v>
      </c>
      <c r="BF27">
        <v>3</v>
      </c>
      <c r="BG27">
        <v>4</v>
      </c>
      <c r="BH27">
        <v>4</v>
      </c>
      <c r="BI27">
        <v>4</v>
      </c>
      <c r="BJ27">
        <v>4</v>
      </c>
      <c r="BK27">
        <v>4</v>
      </c>
      <c r="BL27">
        <v>4</v>
      </c>
      <c r="BM27">
        <v>4</v>
      </c>
      <c r="BO27">
        <v>543.12</v>
      </c>
      <c r="BP27">
        <v>459.16</v>
      </c>
      <c r="CC27">
        <v>83.96</v>
      </c>
    </row>
    <row r="28" spans="1:81" x14ac:dyDescent="0.35">
      <c r="A28">
        <v>287</v>
      </c>
      <c r="B28" t="s">
        <v>171</v>
      </c>
      <c r="C28">
        <v>2</v>
      </c>
      <c r="D28" t="s">
        <v>86</v>
      </c>
      <c r="E28">
        <v>1901059028</v>
      </c>
      <c r="F28" t="s">
        <v>172</v>
      </c>
      <c r="G28" t="s">
        <v>171</v>
      </c>
      <c r="H28" t="s">
        <v>89</v>
      </c>
      <c r="I28" t="s">
        <v>88</v>
      </c>
      <c r="J28" t="s">
        <v>89</v>
      </c>
      <c r="K28" t="s">
        <v>89</v>
      </c>
      <c r="L28" t="s">
        <v>88</v>
      </c>
      <c r="M28" t="s">
        <v>88</v>
      </c>
      <c r="O28" t="s">
        <v>89</v>
      </c>
      <c r="P28" t="s">
        <v>173</v>
      </c>
      <c r="Q28" t="s">
        <v>148</v>
      </c>
      <c r="S28" t="s">
        <v>88</v>
      </c>
      <c r="T28" t="s">
        <v>89</v>
      </c>
      <c r="U28" t="s">
        <v>89</v>
      </c>
      <c r="V28" t="s">
        <v>89</v>
      </c>
      <c r="W28" t="s">
        <v>88</v>
      </c>
      <c r="X28" t="s">
        <v>88</v>
      </c>
      <c r="Y28" t="s">
        <v>88</v>
      </c>
      <c r="AG28" t="s">
        <v>174</v>
      </c>
      <c r="AH28" t="s">
        <v>108</v>
      </c>
      <c r="AI28" t="s">
        <v>115</v>
      </c>
      <c r="AJ28">
        <v>2</v>
      </c>
      <c r="AK28">
        <v>2</v>
      </c>
      <c r="AL28">
        <v>2</v>
      </c>
      <c r="AM28" t="s">
        <v>94</v>
      </c>
      <c r="AN28" t="s">
        <v>95</v>
      </c>
      <c r="AO28">
        <v>3</v>
      </c>
      <c r="AP28" t="s">
        <v>95</v>
      </c>
      <c r="AQ28">
        <v>4</v>
      </c>
      <c r="AR28" t="s">
        <v>94</v>
      </c>
      <c r="AS28">
        <v>3</v>
      </c>
      <c r="AT28">
        <v>4</v>
      </c>
      <c r="AU28">
        <v>4</v>
      </c>
      <c r="AV28">
        <v>4</v>
      </c>
      <c r="AW28" t="s">
        <v>94</v>
      </c>
      <c r="AX28" t="s">
        <v>94</v>
      </c>
      <c r="AY28">
        <v>2</v>
      </c>
      <c r="AZ28">
        <v>4</v>
      </c>
      <c r="BA28">
        <v>2</v>
      </c>
      <c r="BB28">
        <v>4</v>
      </c>
      <c r="BC28">
        <v>3</v>
      </c>
      <c r="BD28">
        <v>4</v>
      </c>
      <c r="BE28">
        <v>2</v>
      </c>
      <c r="BF28">
        <v>4</v>
      </c>
      <c r="BG28" t="s">
        <v>96</v>
      </c>
      <c r="BH28">
        <v>2</v>
      </c>
      <c r="BI28" t="s">
        <v>96</v>
      </c>
      <c r="BJ28" t="s">
        <v>96</v>
      </c>
      <c r="BK28">
        <v>3</v>
      </c>
      <c r="BL28">
        <v>4</v>
      </c>
      <c r="BM28">
        <v>3</v>
      </c>
      <c r="BO28">
        <v>335.45</v>
      </c>
      <c r="BP28">
        <v>172.68</v>
      </c>
      <c r="CC28">
        <v>162.77000000000001</v>
      </c>
    </row>
    <row r="29" spans="1:81" x14ac:dyDescent="0.35">
      <c r="A29">
        <v>288</v>
      </c>
      <c r="B29" t="s">
        <v>175</v>
      </c>
      <c r="C29">
        <v>2</v>
      </c>
      <c r="D29" t="s">
        <v>86</v>
      </c>
      <c r="E29">
        <v>302222348</v>
      </c>
      <c r="F29" t="s">
        <v>176</v>
      </c>
      <c r="G29" t="s">
        <v>175</v>
      </c>
      <c r="H29" t="s">
        <v>88</v>
      </c>
      <c r="I29" t="s">
        <v>89</v>
      </c>
      <c r="J29" t="s">
        <v>89</v>
      </c>
      <c r="K29" t="s">
        <v>89</v>
      </c>
      <c r="L29" t="s">
        <v>88</v>
      </c>
      <c r="M29" t="s">
        <v>88</v>
      </c>
      <c r="O29" t="s">
        <v>88</v>
      </c>
      <c r="Q29" t="s">
        <v>105</v>
      </c>
      <c r="R29" t="s">
        <v>91</v>
      </c>
      <c r="S29" t="s">
        <v>88</v>
      </c>
      <c r="T29" t="s">
        <v>88</v>
      </c>
      <c r="U29" t="s">
        <v>89</v>
      </c>
      <c r="V29" t="s">
        <v>89</v>
      </c>
      <c r="W29" t="s">
        <v>89</v>
      </c>
      <c r="X29" t="s">
        <v>88</v>
      </c>
      <c r="Y29" t="s">
        <v>88</v>
      </c>
      <c r="AD29" t="s">
        <v>131</v>
      </c>
      <c r="AE29" t="s">
        <v>131</v>
      </c>
      <c r="AF29" t="s">
        <v>131</v>
      </c>
      <c r="AH29" t="s">
        <v>149</v>
      </c>
      <c r="AI29">
        <v>2</v>
      </c>
      <c r="AJ29">
        <v>2</v>
      </c>
      <c r="AK29">
        <v>4</v>
      </c>
      <c r="AL29">
        <v>2</v>
      </c>
      <c r="AM29" t="s">
        <v>94</v>
      </c>
      <c r="AN29" t="s">
        <v>94</v>
      </c>
      <c r="AO29">
        <v>4</v>
      </c>
      <c r="AP29" t="s">
        <v>94</v>
      </c>
      <c r="AQ29">
        <v>3</v>
      </c>
      <c r="AR29" t="s">
        <v>94</v>
      </c>
      <c r="AS29">
        <v>3</v>
      </c>
      <c r="AT29">
        <v>4</v>
      </c>
      <c r="AU29">
        <v>4</v>
      </c>
      <c r="AV29" t="s">
        <v>94</v>
      </c>
      <c r="AW29" t="s">
        <v>94</v>
      </c>
      <c r="AX29" t="s">
        <v>94</v>
      </c>
      <c r="AY29">
        <v>3</v>
      </c>
      <c r="AZ29">
        <v>4</v>
      </c>
      <c r="BA29">
        <v>3</v>
      </c>
      <c r="BB29">
        <v>3</v>
      </c>
      <c r="BC29">
        <v>3</v>
      </c>
      <c r="BD29">
        <v>4</v>
      </c>
      <c r="BE29" t="s">
        <v>94</v>
      </c>
      <c r="BF29" t="s">
        <v>94</v>
      </c>
      <c r="BG29" t="s">
        <v>96</v>
      </c>
      <c r="BH29" t="s">
        <v>96</v>
      </c>
      <c r="BI29" t="s">
        <v>96</v>
      </c>
      <c r="BJ29" t="s">
        <v>96</v>
      </c>
      <c r="BK29" t="s">
        <v>96</v>
      </c>
      <c r="BL29" t="s">
        <v>96</v>
      </c>
      <c r="BM29" t="s">
        <v>96</v>
      </c>
      <c r="BO29">
        <v>309.31</v>
      </c>
      <c r="BP29">
        <v>128.44</v>
      </c>
      <c r="CC29">
        <v>180.87</v>
      </c>
    </row>
    <row r="30" spans="1:81" x14ac:dyDescent="0.35">
      <c r="A30">
        <v>289</v>
      </c>
      <c r="B30" t="s">
        <v>177</v>
      </c>
      <c r="C30">
        <v>2</v>
      </c>
      <c r="D30" t="s">
        <v>86</v>
      </c>
      <c r="E30">
        <v>930914718</v>
      </c>
      <c r="F30" t="s">
        <v>178</v>
      </c>
      <c r="G30" t="s">
        <v>179</v>
      </c>
      <c r="H30" t="s">
        <v>88</v>
      </c>
      <c r="I30" t="s">
        <v>89</v>
      </c>
      <c r="J30" t="s">
        <v>89</v>
      </c>
      <c r="K30" t="s">
        <v>89</v>
      </c>
      <c r="L30" t="s">
        <v>89</v>
      </c>
      <c r="M30" t="s">
        <v>89</v>
      </c>
      <c r="O30" t="s">
        <v>89</v>
      </c>
      <c r="P30" t="s">
        <v>180</v>
      </c>
      <c r="Q30" t="s">
        <v>90</v>
      </c>
      <c r="S30" t="s">
        <v>89</v>
      </c>
      <c r="T30" t="s">
        <v>88</v>
      </c>
      <c r="U30" t="s">
        <v>89</v>
      </c>
      <c r="V30" t="s">
        <v>89</v>
      </c>
      <c r="W30" t="s">
        <v>88</v>
      </c>
      <c r="X30" t="s">
        <v>89</v>
      </c>
      <c r="Y30" t="s">
        <v>89</v>
      </c>
      <c r="AG30" t="s">
        <v>181</v>
      </c>
      <c r="AH30" t="s">
        <v>93</v>
      </c>
      <c r="AI30">
        <v>3</v>
      </c>
      <c r="AJ30">
        <v>3</v>
      </c>
      <c r="AK30">
        <v>4</v>
      </c>
      <c r="AL30" t="s">
        <v>109</v>
      </c>
      <c r="AM30">
        <v>3</v>
      </c>
      <c r="AN30">
        <v>4</v>
      </c>
      <c r="AO30">
        <v>3</v>
      </c>
      <c r="AP30">
        <v>3</v>
      </c>
      <c r="AQ30">
        <v>3</v>
      </c>
      <c r="AR30">
        <v>3</v>
      </c>
      <c r="AS30">
        <v>2</v>
      </c>
      <c r="AT30">
        <v>2</v>
      </c>
      <c r="AU30">
        <v>4</v>
      </c>
      <c r="AV30">
        <v>4</v>
      </c>
      <c r="AW30">
        <v>3</v>
      </c>
      <c r="AX30" t="s">
        <v>94</v>
      </c>
      <c r="AY30">
        <v>3</v>
      </c>
      <c r="AZ30">
        <v>3</v>
      </c>
      <c r="BA30">
        <v>3</v>
      </c>
      <c r="BB30">
        <v>3</v>
      </c>
      <c r="BC30">
        <v>2</v>
      </c>
      <c r="BD30">
        <v>3</v>
      </c>
      <c r="BE30">
        <v>4</v>
      </c>
      <c r="BF30">
        <v>4</v>
      </c>
      <c r="BG30" t="s">
        <v>96</v>
      </c>
      <c r="BH30">
        <v>4</v>
      </c>
      <c r="BI30">
        <v>3</v>
      </c>
      <c r="BJ30">
        <v>3</v>
      </c>
      <c r="BK30">
        <v>3</v>
      </c>
      <c r="BL30" t="s">
        <v>96</v>
      </c>
      <c r="BM30">
        <v>4</v>
      </c>
      <c r="BO30">
        <v>357.01</v>
      </c>
      <c r="BP30">
        <v>217.98</v>
      </c>
      <c r="CC30">
        <v>139.03</v>
      </c>
    </row>
    <row r="31" spans="1:81" x14ac:dyDescent="0.35">
      <c r="A31">
        <v>290</v>
      </c>
      <c r="B31" t="s">
        <v>182</v>
      </c>
      <c r="C31">
        <v>2</v>
      </c>
      <c r="D31" t="s">
        <v>86</v>
      </c>
      <c r="E31">
        <v>1277031838</v>
      </c>
      <c r="F31" t="s">
        <v>183</v>
      </c>
      <c r="G31" t="s">
        <v>182</v>
      </c>
      <c r="H31" t="s">
        <v>88</v>
      </c>
      <c r="I31" t="s">
        <v>89</v>
      </c>
      <c r="J31" t="s">
        <v>89</v>
      </c>
      <c r="K31" t="s">
        <v>89</v>
      </c>
      <c r="L31" t="s">
        <v>89</v>
      </c>
      <c r="M31" t="s">
        <v>88</v>
      </c>
      <c r="O31" t="s">
        <v>88</v>
      </c>
      <c r="Q31" t="s">
        <v>90</v>
      </c>
      <c r="R31" t="s">
        <v>91</v>
      </c>
      <c r="S31" t="s">
        <v>89</v>
      </c>
      <c r="T31" t="s">
        <v>88</v>
      </c>
      <c r="U31" t="s">
        <v>89</v>
      </c>
      <c r="V31" t="s">
        <v>89</v>
      </c>
      <c r="W31" t="s">
        <v>88</v>
      </c>
      <c r="X31" t="s">
        <v>89</v>
      </c>
      <c r="Y31" t="s">
        <v>89</v>
      </c>
      <c r="AD31">
        <v>4</v>
      </c>
      <c r="AE31">
        <v>4</v>
      </c>
      <c r="AF31" t="s">
        <v>92</v>
      </c>
      <c r="AH31" t="s">
        <v>149</v>
      </c>
      <c r="AI31">
        <v>2</v>
      </c>
      <c r="AJ31">
        <v>4</v>
      </c>
      <c r="AK31">
        <v>3</v>
      </c>
      <c r="AL31" t="s">
        <v>109</v>
      </c>
      <c r="AM31">
        <v>4</v>
      </c>
      <c r="AN31">
        <v>4</v>
      </c>
      <c r="AO31">
        <v>3</v>
      </c>
      <c r="AP31">
        <v>3</v>
      </c>
      <c r="AQ31">
        <v>3</v>
      </c>
      <c r="AR31">
        <v>3</v>
      </c>
      <c r="AS31">
        <v>4</v>
      </c>
      <c r="AT31">
        <v>4</v>
      </c>
      <c r="AU31">
        <v>4</v>
      </c>
      <c r="AV31">
        <v>4</v>
      </c>
      <c r="AW31">
        <v>4</v>
      </c>
      <c r="AX31">
        <v>4</v>
      </c>
      <c r="AY31">
        <v>4</v>
      </c>
      <c r="AZ31">
        <v>4</v>
      </c>
      <c r="BA31">
        <v>4</v>
      </c>
      <c r="BB31">
        <v>4</v>
      </c>
      <c r="BC31">
        <v>3</v>
      </c>
      <c r="BD31">
        <v>3</v>
      </c>
      <c r="BE31">
        <v>2</v>
      </c>
      <c r="BF31">
        <v>2</v>
      </c>
      <c r="BG31" t="s">
        <v>96</v>
      </c>
      <c r="BH31">
        <v>4</v>
      </c>
      <c r="BI31">
        <v>4</v>
      </c>
      <c r="BJ31" t="s">
        <v>96</v>
      </c>
      <c r="BK31">
        <v>4</v>
      </c>
      <c r="BL31">
        <v>4</v>
      </c>
      <c r="BM31">
        <v>4</v>
      </c>
      <c r="BO31">
        <v>404.99</v>
      </c>
      <c r="BP31">
        <v>162.66999999999999</v>
      </c>
      <c r="CC31">
        <v>242.32</v>
      </c>
    </row>
    <row r="32" spans="1:81" x14ac:dyDescent="0.35">
      <c r="A32">
        <v>291</v>
      </c>
      <c r="B32" t="s">
        <v>184</v>
      </c>
      <c r="C32">
        <v>2</v>
      </c>
      <c r="D32" t="s">
        <v>86</v>
      </c>
      <c r="E32">
        <v>249367765</v>
      </c>
      <c r="F32" t="s">
        <v>185</v>
      </c>
      <c r="G32" t="s">
        <v>184</v>
      </c>
      <c r="H32" t="s">
        <v>89</v>
      </c>
      <c r="I32" t="s">
        <v>89</v>
      </c>
      <c r="J32" t="s">
        <v>89</v>
      </c>
      <c r="K32" t="s">
        <v>89</v>
      </c>
      <c r="L32" t="s">
        <v>89</v>
      </c>
      <c r="M32" t="s">
        <v>88</v>
      </c>
      <c r="O32" t="s">
        <v>88</v>
      </c>
      <c r="Q32" t="s">
        <v>148</v>
      </c>
      <c r="R32" t="s">
        <v>91</v>
      </c>
      <c r="S32" t="s">
        <v>88</v>
      </c>
      <c r="T32" t="s">
        <v>88</v>
      </c>
      <c r="U32" t="s">
        <v>89</v>
      </c>
      <c r="V32" t="s">
        <v>88</v>
      </c>
      <c r="W32" t="s">
        <v>88</v>
      </c>
      <c r="X32" t="s">
        <v>88</v>
      </c>
      <c r="Y32" t="s">
        <v>88</v>
      </c>
      <c r="AD32" t="s">
        <v>92</v>
      </c>
      <c r="AE32" t="s">
        <v>92</v>
      </c>
      <c r="AF32" t="s">
        <v>92</v>
      </c>
      <c r="AH32" t="s">
        <v>149</v>
      </c>
      <c r="AI32">
        <v>2</v>
      </c>
      <c r="AJ32">
        <v>3</v>
      </c>
      <c r="AK32">
        <v>3</v>
      </c>
      <c r="AL32" t="s">
        <v>109</v>
      </c>
      <c r="AM32">
        <v>3</v>
      </c>
      <c r="AN32">
        <v>3</v>
      </c>
      <c r="AO32">
        <v>3</v>
      </c>
      <c r="AP32">
        <v>3</v>
      </c>
      <c r="AQ32" t="s">
        <v>95</v>
      </c>
      <c r="AR32">
        <v>3</v>
      </c>
      <c r="AS32">
        <v>2</v>
      </c>
      <c r="AT32">
        <v>3</v>
      </c>
      <c r="AU32">
        <v>3</v>
      </c>
      <c r="AV32" t="s">
        <v>94</v>
      </c>
      <c r="AW32">
        <v>2</v>
      </c>
      <c r="AX32" t="s">
        <v>94</v>
      </c>
      <c r="AY32">
        <v>3</v>
      </c>
      <c r="AZ32">
        <v>4</v>
      </c>
      <c r="BA32">
        <v>2</v>
      </c>
      <c r="BB32" t="s">
        <v>94</v>
      </c>
      <c r="BC32" t="s">
        <v>95</v>
      </c>
      <c r="BD32" t="s">
        <v>95</v>
      </c>
      <c r="BE32">
        <v>3</v>
      </c>
      <c r="BF32" t="s">
        <v>94</v>
      </c>
      <c r="BG32">
        <v>3</v>
      </c>
      <c r="BH32">
        <v>4</v>
      </c>
      <c r="BI32">
        <v>4</v>
      </c>
      <c r="BJ32" t="s">
        <v>96</v>
      </c>
      <c r="BK32">
        <v>3</v>
      </c>
      <c r="BL32" t="s">
        <v>96</v>
      </c>
      <c r="BM32" t="s">
        <v>96</v>
      </c>
      <c r="BO32">
        <v>226.47</v>
      </c>
      <c r="BP32">
        <v>79.540000000000006</v>
      </c>
      <c r="CC32">
        <v>146.93</v>
      </c>
    </row>
    <row r="33" spans="1:81" x14ac:dyDescent="0.35">
      <c r="A33">
        <v>292</v>
      </c>
      <c r="B33" t="s">
        <v>186</v>
      </c>
      <c r="C33">
        <v>2</v>
      </c>
      <c r="D33" t="s">
        <v>86</v>
      </c>
      <c r="E33">
        <v>1229455165</v>
      </c>
      <c r="F33" t="s">
        <v>187</v>
      </c>
      <c r="G33" t="s">
        <v>186</v>
      </c>
      <c r="H33" t="s">
        <v>88</v>
      </c>
      <c r="I33" t="s">
        <v>89</v>
      </c>
      <c r="J33" t="s">
        <v>89</v>
      </c>
      <c r="K33" t="s">
        <v>89</v>
      </c>
      <c r="L33" t="s">
        <v>89</v>
      </c>
      <c r="M33" t="s">
        <v>88</v>
      </c>
      <c r="O33" t="s">
        <v>88</v>
      </c>
      <c r="Q33" t="s">
        <v>105</v>
      </c>
      <c r="R33" t="s">
        <v>89</v>
      </c>
      <c r="S33" t="s">
        <v>89</v>
      </c>
      <c r="T33" t="s">
        <v>88</v>
      </c>
      <c r="U33" t="s">
        <v>89</v>
      </c>
      <c r="V33" t="s">
        <v>89</v>
      </c>
      <c r="W33" t="s">
        <v>88</v>
      </c>
      <c r="X33" t="s">
        <v>88</v>
      </c>
      <c r="Y33" t="s">
        <v>88</v>
      </c>
      <c r="AD33" t="s">
        <v>92</v>
      </c>
      <c r="AE33">
        <v>4</v>
      </c>
      <c r="AF33" t="s">
        <v>92</v>
      </c>
      <c r="AH33" t="s">
        <v>149</v>
      </c>
      <c r="AI33">
        <v>3</v>
      </c>
      <c r="AJ33">
        <v>2</v>
      </c>
      <c r="AK33">
        <v>4</v>
      </c>
      <c r="AL33" t="s">
        <v>109</v>
      </c>
      <c r="AM33">
        <v>4</v>
      </c>
      <c r="AN33">
        <v>4</v>
      </c>
      <c r="AO33">
        <v>4</v>
      </c>
      <c r="AP33">
        <v>4</v>
      </c>
      <c r="AQ33">
        <v>3</v>
      </c>
      <c r="AR33" t="s">
        <v>95</v>
      </c>
      <c r="AS33">
        <v>4</v>
      </c>
      <c r="AT33">
        <v>4</v>
      </c>
      <c r="AU33" t="s">
        <v>94</v>
      </c>
      <c r="AV33" t="s">
        <v>94</v>
      </c>
      <c r="AW33">
        <v>4</v>
      </c>
      <c r="AX33" t="s">
        <v>94</v>
      </c>
      <c r="AY33">
        <v>4</v>
      </c>
      <c r="AZ33">
        <v>3</v>
      </c>
      <c r="BA33">
        <v>2</v>
      </c>
      <c r="BB33">
        <v>3</v>
      </c>
      <c r="BC33">
        <v>4</v>
      </c>
      <c r="BD33" t="s">
        <v>94</v>
      </c>
      <c r="BE33">
        <v>4</v>
      </c>
      <c r="BF33">
        <v>4</v>
      </c>
      <c r="BG33">
        <v>2</v>
      </c>
      <c r="BH33">
        <v>2</v>
      </c>
      <c r="BI33">
        <v>2</v>
      </c>
      <c r="BJ33">
        <v>2</v>
      </c>
      <c r="BK33">
        <v>2</v>
      </c>
      <c r="BL33">
        <v>2</v>
      </c>
      <c r="BM33">
        <v>2</v>
      </c>
      <c r="BO33">
        <v>288.49</v>
      </c>
      <c r="BP33">
        <v>90.19</v>
      </c>
      <c r="CC33">
        <v>198.3</v>
      </c>
    </row>
    <row r="34" spans="1:81" x14ac:dyDescent="0.35">
      <c r="A34">
        <v>293</v>
      </c>
      <c r="B34" t="s">
        <v>188</v>
      </c>
      <c r="C34">
        <v>2</v>
      </c>
      <c r="D34" t="s">
        <v>86</v>
      </c>
      <c r="E34">
        <v>59647334</v>
      </c>
      <c r="F34" t="s">
        <v>189</v>
      </c>
      <c r="G34" t="s">
        <v>188</v>
      </c>
      <c r="H34" t="s">
        <v>88</v>
      </c>
      <c r="I34" t="s">
        <v>89</v>
      </c>
      <c r="J34" t="s">
        <v>88</v>
      </c>
      <c r="K34" t="s">
        <v>89</v>
      </c>
      <c r="L34" t="s">
        <v>88</v>
      </c>
      <c r="M34" t="s">
        <v>88</v>
      </c>
      <c r="O34" t="s">
        <v>88</v>
      </c>
      <c r="Q34" t="s">
        <v>105</v>
      </c>
      <c r="R34" t="s">
        <v>91</v>
      </c>
      <c r="S34" t="s">
        <v>89</v>
      </c>
      <c r="T34" t="s">
        <v>88</v>
      </c>
      <c r="U34" t="s">
        <v>89</v>
      </c>
      <c r="V34" t="s">
        <v>89</v>
      </c>
      <c r="W34" t="s">
        <v>88</v>
      </c>
      <c r="X34" t="s">
        <v>89</v>
      </c>
      <c r="Y34" t="s">
        <v>88</v>
      </c>
      <c r="AD34">
        <v>4</v>
      </c>
      <c r="AE34" t="s">
        <v>92</v>
      </c>
      <c r="AF34" t="s">
        <v>92</v>
      </c>
      <c r="AH34" t="s">
        <v>93</v>
      </c>
      <c r="AI34">
        <v>4</v>
      </c>
      <c r="AJ34">
        <v>4</v>
      </c>
      <c r="AK34">
        <v>3</v>
      </c>
      <c r="AL34">
        <v>2</v>
      </c>
      <c r="AM34">
        <v>3</v>
      </c>
      <c r="AN34">
        <v>2</v>
      </c>
      <c r="AO34">
        <v>3</v>
      </c>
      <c r="AP34">
        <v>2</v>
      </c>
      <c r="AQ34">
        <v>2</v>
      </c>
      <c r="AR34" t="s">
        <v>95</v>
      </c>
      <c r="AS34" t="s">
        <v>95</v>
      </c>
      <c r="AT34">
        <v>2</v>
      </c>
      <c r="AU34">
        <v>3</v>
      </c>
      <c r="AV34">
        <v>4</v>
      </c>
      <c r="AW34">
        <v>3</v>
      </c>
      <c r="AX34">
        <v>4</v>
      </c>
      <c r="AY34">
        <v>4</v>
      </c>
      <c r="AZ34">
        <v>3</v>
      </c>
      <c r="BA34">
        <v>2</v>
      </c>
      <c r="BB34">
        <v>3</v>
      </c>
      <c r="BC34" t="s">
        <v>95</v>
      </c>
      <c r="BD34" t="s">
        <v>95</v>
      </c>
      <c r="BE34">
        <v>4</v>
      </c>
      <c r="BF34" t="s">
        <v>94</v>
      </c>
      <c r="BG34">
        <v>4</v>
      </c>
      <c r="BH34">
        <v>3</v>
      </c>
      <c r="BI34">
        <v>3</v>
      </c>
      <c r="BJ34" t="s">
        <v>96</v>
      </c>
      <c r="BK34">
        <v>4</v>
      </c>
      <c r="BL34">
        <v>4</v>
      </c>
      <c r="BM34" t="s">
        <v>96</v>
      </c>
      <c r="BO34">
        <v>205.29</v>
      </c>
      <c r="BP34">
        <v>79.88</v>
      </c>
      <c r="CC34">
        <v>125.41</v>
      </c>
    </row>
    <row r="35" spans="1:81" x14ac:dyDescent="0.35">
      <c r="A35">
        <v>294</v>
      </c>
      <c r="B35" t="s">
        <v>190</v>
      </c>
      <c r="C35">
        <v>2</v>
      </c>
      <c r="D35" t="s">
        <v>86</v>
      </c>
      <c r="E35">
        <v>553600986</v>
      </c>
      <c r="F35" t="s">
        <v>191</v>
      </c>
      <c r="G35" t="s">
        <v>190</v>
      </c>
      <c r="H35" t="s">
        <v>88</v>
      </c>
      <c r="I35" t="s">
        <v>89</v>
      </c>
      <c r="J35" t="s">
        <v>88</v>
      </c>
      <c r="K35" t="s">
        <v>89</v>
      </c>
      <c r="L35" t="s">
        <v>89</v>
      </c>
      <c r="M35" t="s">
        <v>88</v>
      </c>
      <c r="O35" t="s">
        <v>89</v>
      </c>
      <c r="P35" t="s">
        <v>192</v>
      </c>
      <c r="Q35" t="s">
        <v>148</v>
      </c>
      <c r="S35" t="s">
        <v>89</v>
      </c>
      <c r="T35" t="s">
        <v>89</v>
      </c>
      <c r="U35" t="s">
        <v>89</v>
      </c>
      <c r="V35" t="s">
        <v>88</v>
      </c>
      <c r="W35" t="s">
        <v>88</v>
      </c>
      <c r="X35" t="s">
        <v>89</v>
      </c>
      <c r="Y35" t="s">
        <v>89</v>
      </c>
      <c r="AH35" t="s">
        <v>149</v>
      </c>
      <c r="AI35">
        <v>3</v>
      </c>
      <c r="AJ35">
        <v>3</v>
      </c>
      <c r="AK35" t="s">
        <v>109</v>
      </c>
      <c r="AL35" t="s">
        <v>109</v>
      </c>
      <c r="AM35">
        <v>4</v>
      </c>
      <c r="AN35">
        <v>4</v>
      </c>
      <c r="AO35">
        <v>4</v>
      </c>
      <c r="AP35">
        <v>4</v>
      </c>
      <c r="AQ35">
        <v>2</v>
      </c>
      <c r="AR35" t="s">
        <v>95</v>
      </c>
      <c r="AS35">
        <v>3</v>
      </c>
      <c r="AT35">
        <v>4</v>
      </c>
      <c r="AU35">
        <v>3</v>
      </c>
      <c r="AV35">
        <v>2</v>
      </c>
      <c r="AW35">
        <v>4</v>
      </c>
      <c r="AX35" t="s">
        <v>94</v>
      </c>
      <c r="AY35">
        <v>2</v>
      </c>
      <c r="AZ35">
        <v>4</v>
      </c>
      <c r="BA35">
        <v>2</v>
      </c>
      <c r="BB35">
        <v>3</v>
      </c>
      <c r="BC35">
        <v>3</v>
      </c>
      <c r="BD35">
        <v>3</v>
      </c>
      <c r="BE35">
        <v>3</v>
      </c>
      <c r="BF35">
        <v>3</v>
      </c>
      <c r="BG35">
        <v>4</v>
      </c>
      <c r="BH35">
        <v>4</v>
      </c>
      <c r="BI35">
        <v>4</v>
      </c>
      <c r="BJ35">
        <v>4</v>
      </c>
      <c r="BK35" t="s">
        <v>96</v>
      </c>
      <c r="BL35">
        <v>4</v>
      </c>
      <c r="BM35">
        <v>4</v>
      </c>
      <c r="BO35">
        <v>284.14</v>
      </c>
      <c r="BP35">
        <v>91.59</v>
      </c>
      <c r="CC35">
        <v>192.55</v>
      </c>
    </row>
    <row r="36" spans="1:81" x14ac:dyDescent="0.35">
      <c r="A36">
        <v>295</v>
      </c>
      <c r="C36">
        <v>0</v>
      </c>
      <c r="D36" t="s">
        <v>86</v>
      </c>
      <c r="E36">
        <v>1761003038</v>
      </c>
      <c r="F36" t="s">
        <v>193</v>
      </c>
      <c r="G36" t="s">
        <v>194</v>
      </c>
      <c r="H36" t="s">
        <v>89</v>
      </c>
      <c r="I36" t="s">
        <v>89</v>
      </c>
      <c r="J36" t="s">
        <v>89</v>
      </c>
      <c r="K36" t="s">
        <v>89</v>
      </c>
      <c r="L36" t="s">
        <v>89</v>
      </c>
      <c r="M36" t="s">
        <v>89</v>
      </c>
      <c r="O36" t="s">
        <v>99</v>
      </c>
      <c r="S36" t="s">
        <v>89</v>
      </c>
      <c r="T36" t="s">
        <v>89</v>
      </c>
      <c r="U36" t="s">
        <v>89</v>
      </c>
      <c r="V36" t="s">
        <v>89</v>
      </c>
      <c r="W36" t="s">
        <v>89</v>
      </c>
      <c r="X36" t="s">
        <v>89</v>
      </c>
      <c r="Y36" t="s">
        <v>89</v>
      </c>
      <c r="BO36">
        <v>5.2</v>
      </c>
      <c r="BP36">
        <v>5.2</v>
      </c>
    </row>
    <row r="37" spans="1:81" x14ac:dyDescent="0.35">
      <c r="A37">
        <v>296</v>
      </c>
      <c r="C37">
        <v>0</v>
      </c>
      <c r="D37" t="s">
        <v>86</v>
      </c>
      <c r="E37">
        <v>1079343447</v>
      </c>
      <c r="F37" t="s">
        <v>195</v>
      </c>
      <c r="G37" t="s">
        <v>196</v>
      </c>
      <c r="H37" t="s">
        <v>99</v>
      </c>
      <c r="I37" t="s">
        <v>99</v>
      </c>
      <c r="J37" t="s">
        <v>99</v>
      </c>
      <c r="K37" t="s">
        <v>99</v>
      </c>
      <c r="L37" t="s">
        <v>99</v>
      </c>
      <c r="M37" t="s">
        <v>99</v>
      </c>
      <c r="O37" t="s">
        <v>99</v>
      </c>
      <c r="S37" t="s">
        <v>99</v>
      </c>
      <c r="T37" t="s">
        <v>99</v>
      </c>
      <c r="U37" t="s">
        <v>99</v>
      </c>
      <c r="V37" t="s">
        <v>99</v>
      </c>
      <c r="W37" t="s">
        <v>99</v>
      </c>
      <c r="X37" t="s">
        <v>99</v>
      </c>
      <c r="Y37" t="s">
        <v>99</v>
      </c>
      <c r="BO37">
        <v>0</v>
      </c>
    </row>
    <row r="38" spans="1:81" x14ac:dyDescent="0.35">
      <c r="A38">
        <v>297</v>
      </c>
      <c r="B38" t="s">
        <v>197</v>
      </c>
      <c r="C38">
        <v>2</v>
      </c>
      <c r="D38" t="s">
        <v>86</v>
      </c>
      <c r="E38">
        <v>1552081405</v>
      </c>
      <c r="F38" t="s">
        <v>198</v>
      </c>
      <c r="G38" t="s">
        <v>197</v>
      </c>
      <c r="H38" t="s">
        <v>89</v>
      </c>
      <c r="I38" t="s">
        <v>89</v>
      </c>
      <c r="J38" t="s">
        <v>88</v>
      </c>
      <c r="K38" t="s">
        <v>89</v>
      </c>
      <c r="L38" t="s">
        <v>88</v>
      </c>
      <c r="M38" t="s">
        <v>88</v>
      </c>
      <c r="O38" t="s">
        <v>88</v>
      </c>
      <c r="Q38" t="s">
        <v>105</v>
      </c>
      <c r="R38" t="s">
        <v>91</v>
      </c>
      <c r="S38" t="s">
        <v>88</v>
      </c>
      <c r="T38" t="s">
        <v>88</v>
      </c>
      <c r="U38" t="s">
        <v>89</v>
      </c>
      <c r="V38" t="s">
        <v>89</v>
      </c>
      <c r="W38" t="s">
        <v>89</v>
      </c>
      <c r="X38" t="s">
        <v>89</v>
      </c>
      <c r="Y38" t="s">
        <v>89</v>
      </c>
      <c r="AD38" t="s">
        <v>131</v>
      </c>
      <c r="AE38" t="s">
        <v>92</v>
      </c>
      <c r="AF38" t="s">
        <v>131</v>
      </c>
      <c r="AH38" t="s">
        <v>108</v>
      </c>
      <c r="AI38">
        <v>3</v>
      </c>
      <c r="AJ38">
        <v>3</v>
      </c>
      <c r="AK38">
        <v>4</v>
      </c>
      <c r="AL38" t="s">
        <v>109</v>
      </c>
      <c r="AM38">
        <v>3</v>
      </c>
      <c r="AN38">
        <v>3</v>
      </c>
      <c r="AO38">
        <v>4</v>
      </c>
      <c r="AP38">
        <v>2</v>
      </c>
      <c r="AQ38">
        <v>2</v>
      </c>
      <c r="AR38" t="s">
        <v>95</v>
      </c>
      <c r="AS38">
        <v>3</v>
      </c>
      <c r="AT38">
        <v>3</v>
      </c>
      <c r="AU38">
        <v>4</v>
      </c>
      <c r="AV38">
        <v>4</v>
      </c>
      <c r="AW38">
        <v>3</v>
      </c>
      <c r="AX38">
        <v>3</v>
      </c>
      <c r="AY38">
        <v>3</v>
      </c>
      <c r="AZ38">
        <v>3</v>
      </c>
      <c r="BA38">
        <v>3</v>
      </c>
      <c r="BB38">
        <v>3</v>
      </c>
      <c r="BC38">
        <v>3</v>
      </c>
      <c r="BD38">
        <v>3</v>
      </c>
      <c r="BE38">
        <v>3</v>
      </c>
      <c r="BF38">
        <v>3</v>
      </c>
      <c r="BG38">
        <v>4</v>
      </c>
      <c r="BH38" t="s">
        <v>96</v>
      </c>
      <c r="BI38" t="s">
        <v>96</v>
      </c>
      <c r="BJ38" t="s">
        <v>96</v>
      </c>
      <c r="BK38" t="s">
        <v>96</v>
      </c>
      <c r="BL38" t="s">
        <v>96</v>
      </c>
      <c r="BM38" t="s">
        <v>96</v>
      </c>
      <c r="BO38">
        <v>306.63</v>
      </c>
      <c r="BP38">
        <v>121.01</v>
      </c>
      <c r="CC38">
        <v>185.62</v>
      </c>
    </row>
    <row r="39" spans="1:81" x14ac:dyDescent="0.35">
      <c r="A39">
        <v>298</v>
      </c>
      <c r="B39" t="s">
        <v>199</v>
      </c>
      <c r="C39">
        <v>2</v>
      </c>
      <c r="D39" t="s">
        <v>86</v>
      </c>
      <c r="E39">
        <v>911713650</v>
      </c>
      <c r="F39" t="s">
        <v>200</v>
      </c>
      <c r="G39" t="s">
        <v>199</v>
      </c>
      <c r="H39" t="s">
        <v>88</v>
      </c>
      <c r="I39" t="s">
        <v>88</v>
      </c>
      <c r="J39" t="s">
        <v>88</v>
      </c>
      <c r="K39" t="s">
        <v>89</v>
      </c>
      <c r="L39" t="s">
        <v>89</v>
      </c>
      <c r="M39" t="s">
        <v>89</v>
      </c>
      <c r="O39" t="s">
        <v>88</v>
      </c>
      <c r="Q39" t="s">
        <v>139</v>
      </c>
      <c r="R39" t="s">
        <v>89</v>
      </c>
      <c r="S39" t="s">
        <v>89</v>
      </c>
      <c r="T39" t="s">
        <v>88</v>
      </c>
      <c r="U39" t="s">
        <v>89</v>
      </c>
      <c r="V39" t="s">
        <v>88</v>
      </c>
      <c r="W39" t="s">
        <v>88</v>
      </c>
      <c r="X39" t="s">
        <v>89</v>
      </c>
      <c r="Y39" t="s">
        <v>89</v>
      </c>
      <c r="AD39" t="s">
        <v>131</v>
      </c>
      <c r="AE39" t="s">
        <v>92</v>
      </c>
      <c r="AF39" t="s">
        <v>92</v>
      </c>
      <c r="AG39" t="s">
        <v>201</v>
      </c>
      <c r="AH39" t="s">
        <v>108</v>
      </c>
      <c r="AI39">
        <v>3</v>
      </c>
      <c r="AJ39">
        <v>4</v>
      </c>
      <c r="AK39">
        <v>3</v>
      </c>
      <c r="AL39" t="s">
        <v>109</v>
      </c>
      <c r="AM39">
        <v>4</v>
      </c>
      <c r="AN39">
        <v>4</v>
      </c>
      <c r="AO39">
        <v>4</v>
      </c>
      <c r="AP39">
        <v>3</v>
      </c>
      <c r="AQ39">
        <v>3</v>
      </c>
      <c r="AR39">
        <v>3</v>
      </c>
      <c r="AS39">
        <v>3</v>
      </c>
      <c r="AT39">
        <v>4</v>
      </c>
      <c r="AU39">
        <v>4</v>
      </c>
      <c r="AV39">
        <v>4</v>
      </c>
      <c r="AW39">
        <v>3</v>
      </c>
      <c r="AX39">
        <v>2</v>
      </c>
      <c r="AY39">
        <v>3</v>
      </c>
      <c r="AZ39">
        <v>4</v>
      </c>
      <c r="BA39">
        <v>4</v>
      </c>
      <c r="BB39" t="s">
        <v>94</v>
      </c>
      <c r="BC39">
        <v>4</v>
      </c>
      <c r="BD39">
        <v>4</v>
      </c>
      <c r="BE39">
        <v>3</v>
      </c>
      <c r="BF39" t="s">
        <v>94</v>
      </c>
      <c r="BG39" t="s">
        <v>96</v>
      </c>
      <c r="BH39">
        <v>4</v>
      </c>
      <c r="BI39">
        <v>4</v>
      </c>
      <c r="BJ39">
        <v>4</v>
      </c>
      <c r="BK39">
        <v>4</v>
      </c>
      <c r="BL39">
        <v>4</v>
      </c>
      <c r="BM39">
        <v>4</v>
      </c>
      <c r="BN39" t="s">
        <v>202</v>
      </c>
      <c r="BO39">
        <v>174.68</v>
      </c>
      <c r="BP39">
        <v>54.09</v>
      </c>
      <c r="CC39">
        <v>120.59</v>
      </c>
    </row>
    <row r="40" spans="1:81" x14ac:dyDescent="0.35">
      <c r="A40">
        <v>299</v>
      </c>
      <c r="B40" t="s">
        <v>203</v>
      </c>
      <c r="C40">
        <v>2</v>
      </c>
      <c r="D40" t="s">
        <v>86</v>
      </c>
      <c r="E40">
        <v>1594129444</v>
      </c>
      <c r="F40" t="s">
        <v>204</v>
      </c>
      <c r="G40" t="s">
        <v>203</v>
      </c>
      <c r="H40" t="s">
        <v>88</v>
      </c>
      <c r="I40" t="s">
        <v>89</v>
      </c>
      <c r="J40" t="s">
        <v>89</v>
      </c>
      <c r="K40" t="s">
        <v>89</v>
      </c>
      <c r="L40" t="s">
        <v>89</v>
      </c>
      <c r="M40" t="s">
        <v>89</v>
      </c>
      <c r="O40" t="s">
        <v>88</v>
      </c>
      <c r="Q40" t="s">
        <v>139</v>
      </c>
      <c r="R40" t="s">
        <v>89</v>
      </c>
      <c r="S40" t="s">
        <v>88</v>
      </c>
      <c r="T40" t="s">
        <v>88</v>
      </c>
      <c r="U40" t="s">
        <v>89</v>
      </c>
      <c r="V40" t="s">
        <v>89</v>
      </c>
      <c r="W40" t="s">
        <v>88</v>
      </c>
      <c r="X40" t="s">
        <v>89</v>
      </c>
      <c r="Y40" t="s">
        <v>88</v>
      </c>
      <c r="AD40">
        <v>2</v>
      </c>
      <c r="AE40">
        <v>2</v>
      </c>
      <c r="AF40">
        <v>2</v>
      </c>
      <c r="AG40" t="s">
        <v>205</v>
      </c>
      <c r="AH40" t="s">
        <v>108</v>
      </c>
      <c r="AI40">
        <v>3</v>
      </c>
      <c r="AJ40">
        <v>3</v>
      </c>
      <c r="AK40">
        <v>4</v>
      </c>
      <c r="AL40" t="s">
        <v>109</v>
      </c>
      <c r="AM40" t="s">
        <v>94</v>
      </c>
      <c r="AN40">
        <v>4</v>
      </c>
      <c r="AO40">
        <v>3</v>
      </c>
      <c r="AP40">
        <v>2</v>
      </c>
      <c r="AQ40">
        <v>4</v>
      </c>
      <c r="AR40">
        <v>3</v>
      </c>
      <c r="AS40">
        <v>3</v>
      </c>
      <c r="AT40">
        <v>2</v>
      </c>
      <c r="AU40" t="s">
        <v>94</v>
      </c>
      <c r="AV40">
        <v>3</v>
      </c>
      <c r="AW40" t="s">
        <v>94</v>
      </c>
      <c r="AX40">
        <v>4</v>
      </c>
      <c r="AY40" t="s">
        <v>94</v>
      </c>
      <c r="AZ40" t="s">
        <v>94</v>
      </c>
      <c r="BA40" t="s">
        <v>94</v>
      </c>
      <c r="BB40" t="s">
        <v>94</v>
      </c>
      <c r="BC40">
        <v>3</v>
      </c>
      <c r="BD40">
        <v>3</v>
      </c>
      <c r="BE40">
        <v>2</v>
      </c>
      <c r="BF40">
        <v>4</v>
      </c>
      <c r="BG40">
        <v>3</v>
      </c>
      <c r="BH40">
        <v>3</v>
      </c>
      <c r="BI40">
        <v>3</v>
      </c>
      <c r="BJ40">
        <v>4</v>
      </c>
      <c r="BK40">
        <v>4</v>
      </c>
      <c r="BL40">
        <v>3</v>
      </c>
      <c r="BM40">
        <v>4</v>
      </c>
      <c r="BN40" t="s">
        <v>206</v>
      </c>
      <c r="BO40">
        <v>259.08999999999997</v>
      </c>
      <c r="BP40">
        <v>102.46</v>
      </c>
      <c r="CC40">
        <v>156.63</v>
      </c>
    </row>
    <row r="41" spans="1:81" x14ac:dyDescent="0.35">
      <c r="A41">
        <v>300</v>
      </c>
      <c r="B41" t="s">
        <v>207</v>
      </c>
      <c r="C41">
        <v>2</v>
      </c>
      <c r="D41" t="s">
        <v>86</v>
      </c>
      <c r="E41">
        <v>1240125754</v>
      </c>
      <c r="F41" t="s">
        <v>208</v>
      </c>
      <c r="G41" t="s">
        <v>207</v>
      </c>
      <c r="H41" t="s">
        <v>88</v>
      </c>
      <c r="I41" t="s">
        <v>89</v>
      </c>
      <c r="J41" t="s">
        <v>89</v>
      </c>
      <c r="K41" t="s">
        <v>89</v>
      </c>
      <c r="L41" t="s">
        <v>89</v>
      </c>
      <c r="M41" t="s">
        <v>89</v>
      </c>
      <c r="O41" t="s">
        <v>89</v>
      </c>
      <c r="P41" t="s">
        <v>209</v>
      </c>
      <c r="Q41" t="s">
        <v>148</v>
      </c>
      <c r="S41" t="s">
        <v>89</v>
      </c>
      <c r="T41" t="s">
        <v>89</v>
      </c>
      <c r="U41" t="s">
        <v>89</v>
      </c>
      <c r="V41" t="s">
        <v>89</v>
      </c>
      <c r="W41" t="s">
        <v>88</v>
      </c>
      <c r="X41" t="s">
        <v>88</v>
      </c>
      <c r="Y41" t="s">
        <v>88</v>
      </c>
      <c r="AH41" t="s">
        <v>108</v>
      </c>
      <c r="AI41">
        <v>3</v>
      </c>
      <c r="AJ41">
        <v>3</v>
      </c>
      <c r="AK41">
        <v>4</v>
      </c>
      <c r="AL41" t="s">
        <v>109</v>
      </c>
      <c r="AM41" t="s">
        <v>94</v>
      </c>
      <c r="AN41">
        <v>2</v>
      </c>
      <c r="AO41" t="s">
        <v>94</v>
      </c>
      <c r="AP41">
        <v>4</v>
      </c>
      <c r="AQ41">
        <v>4</v>
      </c>
      <c r="AR41">
        <v>4</v>
      </c>
      <c r="AS41" t="s">
        <v>94</v>
      </c>
      <c r="AT41">
        <v>2</v>
      </c>
      <c r="AU41" t="s">
        <v>94</v>
      </c>
      <c r="AV41">
        <v>3</v>
      </c>
      <c r="AW41">
        <v>4</v>
      </c>
      <c r="AX41" t="s">
        <v>94</v>
      </c>
      <c r="AY41" t="s">
        <v>94</v>
      </c>
      <c r="AZ41">
        <v>3</v>
      </c>
      <c r="BA41" t="s">
        <v>94</v>
      </c>
      <c r="BB41">
        <v>3</v>
      </c>
      <c r="BC41" t="s">
        <v>94</v>
      </c>
      <c r="BD41">
        <v>3</v>
      </c>
      <c r="BE41" t="s">
        <v>94</v>
      </c>
      <c r="BF41">
        <v>3</v>
      </c>
      <c r="BG41" t="s">
        <v>96</v>
      </c>
      <c r="BH41">
        <v>4</v>
      </c>
      <c r="BI41" t="s">
        <v>96</v>
      </c>
      <c r="BJ41">
        <v>4</v>
      </c>
      <c r="BK41">
        <v>4</v>
      </c>
      <c r="BL41">
        <v>4</v>
      </c>
      <c r="BM41">
        <v>4</v>
      </c>
      <c r="BO41">
        <v>195.31</v>
      </c>
      <c r="BP41">
        <v>76.92</v>
      </c>
      <c r="CC41">
        <v>118.39</v>
      </c>
    </row>
    <row r="42" spans="1:81" x14ac:dyDescent="0.35">
      <c r="A42">
        <v>301</v>
      </c>
      <c r="B42" t="s">
        <v>210</v>
      </c>
      <c r="C42">
        <v>2</v>
      </c>
      <c r="D42" t="s">
        <v>86</v>
      </c>
      <c r="E42">
        <v>2024153948</v>
      </c>
      <c r="F42" t="s">
        <v>211</v>
      </c>
      <c r="G42" t="s">
        <v>210</v>
      </c>
      <c r="H42" t="s">
        <v>88</v>
      </c>
      <c r="I42" t="s">
        <v>89</v>
      </c>
      <c r="J42" t="s">
        <v>89</v>
      </c>
      <c r="K42" t="s">
        <v>89</v>
      </c>
      <c r="L42" t="s">
        <v>89</v>
      </c>
      <c r="M42" t="s">
        <v>89</v>
      </c>
      <c r="O42" t="s">
        <v>89</v>
      </c>
      <c r="P42" t="s">
        <v>212</v>
      </c>
      <c r="Q42" t="s">
        <v>105</v>
      </c>
      <c r="S42" t="s">
        <v>89</v>
      </c>
      <c r="T42" t="s">
        <v>89</v>
      </c>
      <c r="U42" t="s">
        <v>89</v>
      </c>
      <c r="V42" t="s">
        <v>88</v>
      </c>
      <c r="W42" t="s">
        <v>89</v>
      </c>
      <c r="X42" t="s">
        <v>88</v>
      </c>
      <c r="Y42" t="s">
        <v>89</v>
      </c>
      <c r="Z42" t="s">
        <v>213</v>
      </c>
      <c r="AH42" t="s">
        <v>108</v>
      </c>
      <c r="AI42">
        <v>3</v>
      </c>
      <c r="AJ42">
        <v>3</v>
      </c>
      <c r="AK42">
        <v>3</v>
      </c>
      <c r="AL42" t="s">
        <v>109</v>
      </c>
      <c r="AM42">
        <v>4</v>
      </c>
      <c r="AN42">
        <v>3</v>
      </c>
      <c r="AO42">
        <v>3</v>
      </c>
      <c r="AP42">
        <v>3</v>
      </c>
      <c r="AQ42">
        <v>4</v>
      </c>
      <c r="AR42">
        <v>2</v>
      </c>
      <c r="AS42">
        <v>2</v>
      </c>
      <c r="AT42">
        <v>3</v>
      </c>
      <c r="AU42">
        <v>3</v>
      </c>
      <c r="AV42">
        <v>3</v>
      </c>
      <c r="AW42">
        <v>3</v>
      </c>
      <c r="AX42">
        <v>4</v>
      </c>
      <c r="AY42" t="s">
        <v>94</v>
      </c>
      <c r="AZ42">
        <v>4</v>
      </c>
      <c r="BA42">
        <v>3</v>
      </c>
      <c r="BB42">
        <v>3</v>
      </c>
      <c r="BC42">
        <v>3</v>
      </c>
      <c r="BD42">
        <v>3</v>
      </c>
      <c r="BE42">
        <v>3</v>
      </c>
      <c r="BF42">
        <v>4</v>
      </c>
      <c r="BG42">
        <v>3</v>
      </c>
      <c r="BH42">
        <v>3</v>
      </c>
      <c r="BI42">
        <v>3</v>
      </c>
      <c r="BJ42">
        <v>4</v>
      </c>
      <c r="BK42">
        <v>4</v>
      </c>
      <c r="BL42">
        <v>4</v>
      </c>
      <c r="BM42">
        <v>4</v>
      </c>
      <c r="BO42">
        <v>332.46</v>
      </c>
      <c r="BP42">
        <v>122.02</v>
      </c>
      <c r="CC42">
        <v>210.44</v>
      </c>
    </row>
    <row r="43" spans="1:81" x14ac:dyDescent="0.35">
      <c r="A43">
        <v>302</v>
      </c>
      <c r="B43" t="s">
        <v>214</v>
      </c>
      <c r="C43">
        <v>2</v>
      </c>
      <c r="D43" t="s">
        <v>86</v>
      </c>
      <c r="E43">
        <v>1493544326</v>
      </c>
      <c r="F43" t="s">
        <v>215</v>
      </c>
      <c r="G43" t="s">
        <v>216</v>
      </c>
      <c r="H43" t="s">
        <v>88</v>
      </c>
      <c r="I43" t="s">
        <v>89</v>
      </c>
      <c r="J43" t="s">
        <v>88</v>
      </c>
      <c r="K43" t="s">
        <v>89</v>
      </c>
      <c r="L43" t="s">
        <v>88</v>
      </c>
      <c r="M43" t="s">
        <v>88</v>
      </c>
      <c r="N43" t="s">
        <v>217</v>
      </c>
      <c r="O43" t="s">
        <v>88</v>
      </c>
      <c r="Q43" t="s">
        <v>148</v>
      </c>
      <c r="R43" t="s">
        <v>88</v>
      </c>
      <c r="S43" t="s">
        <v>88</v>
      </c>
      <c r="T43" t="s">
        <v>89</v>
      </c>
      <c r="U43" t="s">
        <v>88</v>
      </c>
      <c r="V43" t="s">
        <v>89</v>
      </c>
      <c r="W43" t="s">
        <v>88</v>
      </c>
      <c r="X43" t="s">
        <v>89</v>
      </c>
      <c r="Y43" t="s">
        <v>89</v>
      </c>
      <c r="Z43" t="s">
        <v>218</v>
      </c>
      <c r="AD43" t="s">
        <v>131</v>
      </c>
      <c r="AE43" t="s">
        <v>131</v>
      </c>
      <c r="AF43" t="s">
        <v>92</v>
      </c>
      <c r="AH43" t="s">
        <v>149</v>
      </c>
      <c r="AI43">
        <v>2</v>
      </c>
      <c r="AJ43">
        <v>2</v>
      </c>
      <c r="AK43">
        <v>4</v>
      </c>
      <c r="AL43" t="s">
        <v>109</v>
      </c>
      <c r="AM43" t="s">
        <v>94</v>
      </c>
      <c r="AN43" t="s">
        <v>94</v>
      </c>
      <c r="AO43">
        <v>4</v>
      </c>
      <c r="AP43" t="s">
        <v>94</v>
      </c>
      <c r="AQ43" t="s">
        <v>94</v>
      </c>
      <c r="AR43" t="s">
        <v>94</v>
      </c>
      <c r="AS43">
        <v>3</v>
      </c>
      <c r="AT43">
        <v>3</v>
      </c>
      <c r="AU43" t="s">
        <v>94</v>
      </c>
      <c r="AV43" t="s">
        <v>94</v>
      </c>
      <c r="AW43" t="s">
        <v>94</v>
      </c>
      <c r="AX43" t="s">
        <v>94</v>
      </c>
      <c r="AY43">
        <v>4</v>
      </c>
      <c r="AZ43" t="s">
        <v>94</v>
      </c>
      <c r="BA43">
        <v>3</v>
      </c>
      <c r="BB43" t="s">
        <v>94</v>
      </c>
      <c r="BC43">
        <v>3</v>
      </c>
      <c r="BD43" t="s">
        <v>94</v>
      </c>
      <c r="BE43">
        <v>4</v>
      </c>
      <c r="BF43" t="s">
        <v>94</v>
      </c>
      <c r="BG43" t="s">
        <v>96</v>
      </c>
      <c r="BH43">
        <v>4</v>
      </c>
      <c r="BI43">
        <v>3</v>
      </c>
      <c r="BJ43">
        <v>4</v>
      </c>
      <c r="BK43">
        <v>4</v>
      </c>
      <c r="BL43">
        <v>4</v>
      </c>
      <c r="BM43">
        <v>4</v>
      </c>
      <c r="BO43">
        <v>325.74</v>
      </c>
      <c r="BP43">
        <v>131.74</v>
      </c>
      <c r="CC43">
        <v>194</v>
      </c>
    </row>
    <row r="44" spans="1:81" x14ac:dyDescent="0.35">
      <c r="A44">
        <v>303</v>
      </c>
      <c r="B44" t="s">
        <v>219</v>
      </c>
      <c r="C44">
        <v>2</v>
      </c>
      <c r="D44" t="s">
        <v>86</v>
      </c>
      <c r="E44">
        <v>1799368398</v>
      </c>
      <c r="F44" t="s">
        <v>220</v>
      </c>
      <c r="G44" t="s">
        <v>221</v>
      </c>
      <c r="H44" t="s">
        <v>88</v>
      </c>
      <c r="I44" t="s">
        <v>89</v>
      </c>
      <c r="J44" t="s">
        <v>89</v>
      </c>
      <c r="K44" t="s">
        <v>89</v>
      </c>
      <c r="L44" t="s">
        <v>89</v>
      </c>
      <c r="M44" t="s">
        <v>89</v>
      </c>
      <c r="O44" t="s">
        <v>88</v>
      </c>
      <c r="Q44" t="s">
        <v>105</v>
      </c>
      <c r="R44" t="s">
        <v>91</v>
      </c>
      <c r="S44" t="s">
        <v>89</v>
      </c>
      <c r="T44" t="s">
        <v>88</v>
      </c>
      <c r="U44" t="s">
        <v>89</v>
      </c>
      <c r="V44" t="s">
        <v>89</v>
      </c>
      <c r="W44" t="s">
        <v>88</v>
      </c>
      <c r="X44" t="s">
        <v>89</v>
      </c>
      <c r="Y44" t="s">
        <v>88</v>
      </c>
      <c r="AD44">
        <v>4</v>
      </c>
      <c r="AE44" t="s">
        <v>92</v>
      </c>
      <c r="AF44" t="s">
        <v>92</v>
      </c>
      <c r="AH44" t="s">
        <v>108</v>
      </c>
      <c r="AI44" t="s">
        <v>115</v>
      </c>
      <c r="AJ44">
        <v>2</v>
      </c>
      <c r="AK44">
        <v>2</v>
      </c>
      <c r="AL44">
        <v>4</v>
      </c>
      <c r="AM44">
        <v>4</v>
      </c>
      <c r="AN44">
        <v>3</v>
      </c>
      <c r="AO44">
        <v>4</v>
      </c>
      <c r="AP44">
        <v>4</v>
      </c>
      <c r="AQ44">
        <v>3</v>
      </c>
      <c r="AR44">
        <v>2</v>
      </c>
      <c r="AS44">
        <v>3</v>
      </c>
      <c r="AT44">
        <v>3</v>
      </c>
      <c r="AU44">
        <v>3</v>
      </c>
      <c r="AV44" t="s">
        <v>95</v>
      </c>
      <c r="AW44">
        <v>4</v>
      </c>
      <c r="AX44">
        <v>4</v>
      </c>
      <c r="AY44">
        <v>4</v>
      </c>
      <c r="AZ44">
        <v>4</v>
      </c>
      <c r="BA44">
        <v>3</v>
      </c>
      <c r="BB44">
        <v>3</v>
      </c>
      <c r="BC44">
        <v>3</v>
      </c>
      <c r="BD44">
        <v>3</v>
      </c>
      <c r="BE44">
        <v>4</v>
      </c>
      <c r="BF44">
        <v>4</v>
      </c>
      <c r="BG44">
        <v>4</v>
      </c>
      <c r="BH44">
        <v>4</v>
      </c>
      <c r="BI44">
        <v>4</v>
      </c>
      <c r="BJ44">
        <v>4</v>
      </c>
      <c r="BK44">
        <v>3</v>
      </c>
      <c r="BL44">
        <v>4</v>
      </c>
      <c r="BM44">
        <v>3</v>
      </c>
      <c r="BO44">
        <v>214.27</v>
      </c>
      <c r="BP44">
        <v>61.27</v>
      </c>
      <c r="CC44">
        <v>153</v>
      </c>
    </row>
    <row r="45" spans="1:81" x14ac:dyDescent="0.35">
      <c r="A45">
        <v>304</v>
      </c>
      <c r="C45">
        <v>0</v>
      </c>
      <c r="D45" t="s">
        <v>86</v>
      </c>
      <c r="E45">
        <v>327159491</v>
      </c>
      <c r="F45" t="s">
        <v>222</v>
      </c>
      <c r="G45" t="s">
        <v>222</v>
      </c>
      <c r="H45" t="s">
        <v>99</v>
      </c>
      <c r="I45" t="s">
        <v>99</v>
      </c>
      <c r="J45" t="s">
        <v>99</v>
      </c>
      <c r="K45" t="s">
        <v>99</v>
      </c>
      <c r="L45" t="s">
        <v>99</v>
      </c>
      <c r="M45" t="s">
        <v>99</v>
      </c>
      <c r="O45" t="s">
        <v>99</v>
      </c>
      <c r="S45" t="s">
        <v>99</v>
      </c>
      <c r="T45" t="s">
        <v>99</v>
      </c>
      <c r="U45" t="s">
        <v>99</v>
      </c>
      <c r="V45" t="s">
        <v>99</v>
      </c>
      <c r="W45" t="s">
        <v>99</v>
      </c>
      <c r="X45" t="s">
        <v>99</v>
      </c>
      <c r="Y45" t="s">
        <v>99</v>
      </c>
      <c r="BO45">
        <v>0</v>
      </c>
    </row>
    <row r="46" spans="1:81" x14ac:dyDescent="0.35">
      <c r="A46">
        <v>305</v>
      </c>
      <c r="B46" t="s">
        <v>223</v>
      </c>
      <c r="C46">
        <v>2</v>
      </c>
      <c r="D46" t="s">
        <v>86</v>
      </c>
      <c r="E46">
        <v>2103993366</v>
      </c>
      <c r="F46" t="s">
        <v>224</v>
      </c>
      <c r="G46" t="s">
        <v>223</v>
      </c>
      <c r="H46" t="s">
        <v>88</v>
      </c>
      <c r="I46" t="s">
        <v>88</v>
      </c>
      <c r="J46" t="s">
        <v>89</v>
      </c>
      <c r="K46" t="s">
        <v>89</v>
      </c>
      <c r="L46" t="s">
        <v>89</v>
      </c>
      <c r="M46" t="s">
        <v>89</v>
      </c>
      <c r="O46" t="s">
        <v>89</v>
      </c>
      <c r="P46" t="s">
        <v>225</v>
      </c>
      <c r="Q46" t="s">
        <v>105</v>
      </c>
      <c r="S46" t="s">
        <v>89</v>
      </c>
      <c r="T46" t="s">
        <v>89</v>
      </c>
      <c r="U46" t="s">
        <v>89</v>
      </c>
      <c r="V46" t="s">
        <v>89</v>
      </c>
      <c r="W46" t="s">
        <v>88</v>
      </c>
      <c r="X46" t="s">
        <v>89</v>
      </c>
      <c r="Y46" t="s">
        <v>88</v>
      </c>
      <c r="AG46" t="s">
        <v>226</v>
      </c>
      <c r="AH46" t="s">
        <v>93</v>
      </c>
      <c r="AI46">
        <v>3</v>
      </c>
      <c r="AJ46">
        <v>4</v>
      </c>
      <c r="AK46">
        <v>4</v>
      </c>
      <c r="AL46" t="s">
        <v>109</v>
      </c>
      <c r="AM46">
        <v>3</v>
      </c>
      <c r="AN46">
        <v>3</v>
      </c>
      <c r="AO46">
        <v>3</v>
      </c>
      <c r="AP46">
        <v>4</v>
      </c>
      <c r="AQ46">
        <v>4</v>
      </c>
      <c r="AR46">
        <v>4</v>
      </c>
      <c r="AS46">
        <v>2</v>
      </c>
      <c r="AT46">
        <v>3</v>
      </c>
      <c r="AU46">
        <v>4</v>
      </c>
      <c r="AV46">
        <v>4</v>
      </c>
      <c r="AW46">
        <v>4</v>
      </c>
      <c r="AX46">
        <v>3</v>
      </c>
      <c r="AY46">
        <v>3</v>
      </c>
      <c r="AZ46">
        <v>4</v>
      </c>
      <c r="BA46">
        <v>3</v>
      </c>
      <c r="BB46">
        <v>3</v>
      </c>
      <c r="BC46">
        <v>3</v>
      </c>
      <c r="BD46">
        <v>3</v>
      </c>
      <c r="BE46" t="s">
        <v>94</v>
      </c>
      <c r="BF46" t="s">
        <v>94</v>
      </c>
      <c r="BG46">
        <v>4</v>
      </c>
      <c r="BH46">
        <v>4</v>
      </c>
      <c r="BI46">
        <v>4</v>
      </c>
      <c r="BJ46">
        <v>4</v>
      </c>
      <c r="BK46">
        <v>3</v>
      </c>
      <c r="BL46">
        <v>4</v>
      </c>
      <c r="BM46">
        <v>4</v>
      </c>
      <c r="BO46">
        <v>151.47</v>
      </c>
      <c r="BP46">
        <v>61.27</v>
      </c>
      <c r="CC46">
        <v>90.2</v>
      </c>
    </row>
    <row r="47" spans="1:81" x14ac:dyDescent="0.35">
      <c r="A47">
        <v>306</v>
      </c>
      <c r="B47" t="s">
        <v>227</v>
      </c>
      <c r="C47">
        <v>2</v>
      </c>
      <c r="D47" t="s">
        <v>86</v>
      </c>
      <c r="E47">
        <v>35479057</v>
      </c>
      <c r="F47" t="s">
        <v>228</v>
      </c>
      <c r="G47" t="s">
        <v>227</v>
      </c>
      <c r="H47" t="s">
        <v>88</v>
      </c>
      <c r="I47" t="s">
        <v>89</v>
      </c>
      <c r="J47" t="s">
        <v>89</v>
      </c>
      <c r="K47" t="s">
        <v>89</v>
      </c>
      <c r="L47" t="s">
        <v>88</v>
      </c>
      <c r="M47" t="s">
        <v>89</v>
      </c>
      <c r="O47" t="s">
        <v>88</v>
      </c>
      <c r="Q47" t="s">
        <v>105</v>
      </c>
      <c r="R47" t="s">
        <v>91</v>
      </c>
      <c r="S47" t="s">
        <v>89</v>
      </c>
      <c r="T47" t="s">
        <v>89</v>
      </c>
      <c r="U47" t="s">
        <v>89</v>
      </c>
      <c r="V47" t="s">
        <v>89</v>
      </c>
      <c r="W47" t="s">
        <v>88</v>
      </c>
      <c r="X47" t="s">
        <v>89</v>
      </c>
      <c r="Y47" t="s">
        <v>89</v>
      </c>
      <c r="AD47" t="s">
        <v>131</v>
      </c>
      <c r="AE47" t="s">
        <v>131</v>
      </c>
      <c r="AF47" t="s">
        <v>131</v>
      </c>
      <c r="AH47" t="s">
        <v>149</v>
      </c>
      <c r="AI47">
        <v>3</v>
      </c>
      <c r="AJ47">
        <v>4</v>
      </c>
      <c r="AK47" t="s">
        <v>109</v>
      </c>
      <c r="AL47" t="s">
        <v>109</v>
      </c>
      <c r="AM47">
        <v>4</v>
      </c>
      <c r="AN47">
        <v>4</v>
      </c>
      <c r="AO47">
        <v>4</v>
      </c>
      <c r="AP47">
        <v>4</v>
      </c>
      <c r="AQ47">
        <v>4</v>
      </c>
      <c r="AR47">
        <v>4</v>
      </c>
      <c r="AS47">
        <v>3</v>
      </c>
      <c r="AT47">
        <v>4</v>
      </c>
      <c r="AU47">
        <v>4</v>
      </c>
      <c r="AV47">
        <v>4</v>
      </c>
      <c r="AW47">
        <v>4</v>
      </c>
      <c r="AX47">
        <v>4</v>
      </c>
      <c r="AY47">
        <v>4</v>
      </c>
      <c r="AZ47">
        <v>4</v>
      </c>
      <c r="BA47">
        <v>4</v>
      </c>
      <c r="BB47">
        <v>4</v>
      </c>
      <c r="BC47">
        <v>4</v>
      </c>
      <c r="BD47">
        <v>4</v>
      </c>
      <c r="BE47">
        <v>4</v>
      </c>
      <c r="BF47">
        <v>4</v>
      </c>
      <c r="BG47">
        <v>4</v>
      </c>
      <c r="BH47">
        <v>4</v>
      </c>
      <c r="BI47">
        <v>4</v>
      </c>
      <c r="BJ47">
        <v>4</v>
      </c>
      <c r="BK47">
        <v>4</v>
      </c>
      <c r="BL47">
        <v>4</v>
      </c>
      <c r="BM47">
        <v>4</v>
      </c>
      <c r="BO47">
        <v>449.78</v>
      </c>
      <c r="BP47">
        <v>182.08</v>
      </c>
      <c r="CC47">
        <v>267.7</v>
      </c>
    </row>
    <row r="48" spans="1:81" x14ac:dyDescent="0.35">
      <c r="A48">
        <v>307</v>
      </c>
      <c r="B48" t="s">
        <v>229</v>
      </c>
      <c r="C48">
        <v>2</v>
      </c>
      <c r="D48" t="s">
        <v>86</v>
      </c>
      <c r="E48">
        <v>52684743</v>
      </c>
      <c r="F48" t="s">
        <v>230</v>
      </c>
      <c r="G48" t="s">
        <v>229</v>
      </c>
      <c r="H48" t="s">
        <v>88</v>
      </c>
      <c r="I48" t="s">
        <v>89</v>
      </c>
      <c r="J48" t="s">
        <v>89</v>
      </c>
      <c r="K48" t="s">
        <v>89</v>
      </c>
      <c r="L48" t="s">
        <v>89</v>
      </c>
      <c r="M48" t="s">
        <v>88</v>
      </c>
      <c r="O48" t="s">
        <v>89</v>
      </c>
      <c r="P48" t="s">
        <v>231</v>
      </c>
      <c r="Q48" t="s">
        <v>90</v>
      </c>
      <c r="S48" t="s">
        <v>89</v>
      </c>
      <c r="T48" t="s">
        <v>89</v>
      </c>
      <c r="U48" t="s">
        <v>89</v>
      </c>
      <c r="V48" t="s">
        <v>89</v>
      </c>
      <c r="W48" t="s">
        <v>88</v>
      </c>
      <c r="X48" t="s">
        <v>88</v>
      </c>
      <c r="Y48" t="s">
        <v>88</v>
      </c>
      <c r="AH48" t="s">
        <v>149</v>
      </c>
      <c r="AI48">
        <v>3</v>
      </c>
      <c r="AJ48">
        <v>2</v>
      </c>
      <c r="AK48">
        <v>4</v>
      </c>
      <c r="AL48" t="s">
        <v>109</v>
      </c>
      <c r="AM48" t="s">
        <v>94</v>
      </c>
      <c r="AN48" t="s">
        <v>95</v>
      </c>
      <c r="AO48">
        <v>3</v>
      </c>
      <c r="AP48">
        <v>3</v>
      </c>
      <c r="AQ48">
        <v>2</v>
      </c>
      <c r="AR48" t="s">
        <v>95</v>
      </c>
      <c r="AS48">
        <v>3</v>
      </c>
      <c r="AT48">
        <v>3</v>
      </c>
      <c r="AU48">
        <v>4</v>
      </c>
      <c r="AV48">
        <v>4</v>
      </c>
      <c r="AW48">
        <v>4</v>
      </c>
      <c r="AX48" t="s">
        <v>94</v>
      </c>
      <c r="AY48">
        <v>3</v>
      </c>
      <c r="AZ48">
        <v>3</v>
      </c>
      <c r="BA48">
        <v>3</v>
      </c>
      <c r="BB48">
        <v>3</v>
      </c>
      <c r="BC48">
        <v>3</v>
      </c>
      <c r="BD48">
        <v>4</v>
      </c>
      <c r="BE48">
        <v>3</v>
      </c>
      <c r="BF48">
        <v>3</v>
      </c>
      <c r="BG48">
        <v>2</v>
      </c>
      <c r="BH48">
        <v>2</v>
      </c>
      <c r="BI48">
        <v>3</v>
      </c>
      <c r="BJ48">
        <v>4</v>
      </c>
      <c r="BK48">
        <v>3</v>
      </c>
      <c r="BL48">
        <v>2</v>
      </c>
      <c r="BM48">
        <v>3</v>
      </c>
      <c r="BO48">
        <v>226.45</v>
      </c>
      <c r="BP48">
        <v>98.11</v>
      </c>
      <c r="CC48">
        <v>128.34</v>
      </c>
    </row>
    <row r="49" spans="1:81" x14ac:dyDescent="0.35">
      <c r="A49">
        <v>308</v>
      </c>
      <c r="B49" t="s">
        <v>232</v>
      </c>
      <c r="C49">
        <v>2</v>
      </c>
      <c r="D49" t="s">
        <v>86</v>
      </c>
      <c r="E49">
        <v>1305644712</v>
      </c>
      <c r="F49" t="s">
        <v>233</v>
      </c>
      <c r="G49" t="s">
        <v>232</v>
      </c>
      <c r="H49" t="s">
        <v>88</v>
      </c>
      <c r="I49" t="s">
        <v>89</v>
      </c>
      <c r="J49" t="s">
        <v>89</v>
      </c>
      <c r="K49" t="s">
        <v>89</v>
      </c>
      <c r="L49" t="s">
        <v>89</v>
      </c>
      <c r="M49" t="s">
        <v>88</v>
      </c>
      <c r="O49" t="s">
        <v>89</v>
      </c>
      <c r="P49" t="s">
        <v>234</v>
      </c>
      <c r="Q49" t="s">
        <v>139</v>
      </c>
      <c r="S49" t="s">
        <v>88</v>
      </c>
      <c r="T49" t="s">
        <v>88</v>
      </c>
      <c r="U49" t="s">
        <v>88</v>
      </c>
      <c r="V49" t="s">
        <v>89</v>
      </c>
      <c r="W49" t="s">
        <v>88</v>
      </c>
      <c r="X49" t="s">
        <v>89</v>
      </c>
      <c r="Y49" t="s">
        <v>89</v>
      </c>
      <c r="AG49" t="s">
        <v>235</v>
      </c>
      <c r="AH49" t="s">
        <v>108</v>
      </c>
      <c r="AI49">
        <v>3</v>
      </c>
      <c r="AJ49">
        <v>3</v>
      </c>
      <c r="AK49">
        <v>3</v>
      </c>
      <c r="AL49">
        <v>3</v>
      </c>
      <c r="AM49" t="s">
        <v>94</v>
      </c>
      <c r="AN49">
        <v>4</v>
      </c>
      <c r="AO49">
        <v>4</v>
      </c>
      <c r="AP49">
        <v>4</v>
      </c>
      <c r="AQ49">
        <v>4</v>
      </c>
      <c r="AR49">
        <v>4</v>
      </c>
      <c r="AS49">
        <v>4</v>
      </c>
      <c r="AT49">
        <v>2</v>
      </c>
      <c r="AU49" t="s">
        <v>94</v>
      </c>
      <c r="AV49" t="s">
        <v>94</v>
      </c>
      <c r="AW49" t="s">
        <v>94</v>
      </c>
      <c r="AX49" t="s">
        <v>94</v>
      </c>
      <c r="AY49">
        <v>3</v>
      </c>
      <c r="AZ49" t="s">
        <v>94</v>
      </c>
      <c r="BA49">
        <v>3</v>
      </c>
      <c r="BB49" t="s">
        <v>94</v>
      </c>
      <c r="BC49">
        <v>3</v>
      </c>
      <c r="BD49" t="s">
        <v>94</v>
      </c>
      <c r="BE49" t="s">
        <v>95</v>
      </c>
      <c r="BF49" t="s">
        <v>94</v>
      </c>
      <c r="BG49">
        <v>4</v>
      </c>
      <c r="BH49" t="s">
        <v>96</v>
      </c>
      <c r="BI49">
        <v>3</v>
      </c>
      <c r="BJ49" t="s">
        <v>96</v>
      </c>
      <c r="BK49" t="s">
        <v>96</v>
      </c>
      <c r="BL49" t="s">
        <v>96</v>
      </c>
      <c r="BM49" t="s">
        <v>96</v>
      </c>
      <c r="BN49" t="s">
        <v>236</v>
      </c>
      <c r="BO49">
        <v>1018.5</v>
      </c>
      <c r="BP49">
        <v>470.58</v>
      </c>
      <c r="CC49">
        <v>547.91999999999996</v>
      </c>
    </row>
    <row r="50" spans="1:81" x14ac:dyDescent="0.35">
      <c r="A50">
        <v>309</v>
      </c>
      <c r="B50" t="s">
        <v>237</v>
      </c>
      <c r="C50">
        <v>2</v>
      </c>
      <c r="D50" t="s">
        <v>86</v>
      </c>
      <c r="E50">
        <v>1394122201</v>
      </c>
      <c r="F50" t="s">
        <v>238</v>
      </c>
      <c r="G50" t="s">
        <v>237</v>
      </c>
      <c r="H50" t="s">
        <v>88</v>
      </c>
      <c r="I50" t="s">
        <v>89</v>
      </c>
      <c r="J50" t="s">
        <v>89</v>
      </c>
      <c r="K50" t="s">
        <v>89</v>
      </c>
      <c r="L50" t="s">
        <v>89</v>
      </c>
      <c r="M50" t="s">
        <v>88</v>
      </c>
      <c r="O50" t="s">
        <v>89</v>
      </c>
      <c r="P50" t="s">
        <v>239</v>
      </c>
      <c r="Q50" t="s">
        <v>90</v>
      </c>
      <c r="S50" t="s">
        <v>88</v>
      </c>
      <c r="T50" t="s">
        <v>88</v>
      </c>
      <c r="U50" t="s">
        <v>89</v>
      </c>
      <c r="V50" t="s">
        <v>89</v>
      </c>
      <c r="W50" t="s">
        <v>88</v>
      </c>
      <c r="X50" t="s">
        <v>89</v>
      </c>
      <c r="Y50" t="s">
        <v>89</v>
      </c>
      <c r="AH50" t="s">
        <v>108</v>
      </c>
      <c r="AI50" t="s">
        <v>115</v>
      </c>
      <c r="AJ50" t="s">
        <v>115</v>
      </c>
      <c r="AK50">
        <v>3</v>
      </c>
      <c r="AL50" t="s">
        <v>109</v>
      </c>
      <c r="AM50">
        <v>3</v>
      </c>
      <c r="AN50">
        <v>2</v>
      </c>
      <c r="AO50">
        <v>3</v>
      </c>
      <c r="AP50">
        <v>2</v>
      </c>
      <c r="AQ50">
        <v>3</v>
      </c>
      <c r="AR50">
        <v>3</v>
      </c>
      <c r="AS50" t="s">
        <v>95</v>
      </c>
      <c r="AT50" t="s">
        <v>95</v>
      </c>
      <c r="AU50">
        <v>3</v>
      </c>
      <c r="AV50">
        <v>3</v>
      </c>
      <c r="AW50">
        <v>3</v>
      </c>
      <c r="AX50" t="s">
        <v>94</v>
      </c>
      <c r="AY50">
        <v>3</v>
      </c>
      <c r="AZ50">
        <v>3</v>
      </c>
      <c r="BA50">
        <v>3</v>
      </c>
      <c r="BB50">
        <v>3</v>
      </c>
      <c r="BC50" t="s">
        <v>94</v>
      </c>
      <c r="BD50" t="s">
        <v>95</v>
      </c>
      <c r="BE50">
        <v>3</v>
      </c>
      <c r="BF50" t="s">
        <v>94</v>
      </c>
      <c r="BG50">
        <v>4</v>
      </c>
      <c r="BH50">
        <v>4</v>
      </c>
      <c r="BI50">
        <v>4</v>
      </c>
      <c r="BJ50">
        <v>3</v>
      </c>
      <c r="BK50">
        <v>4</v>
      </c>
      <c r="BL50">
        <v>4</v>
      </c>
      <c r="BM50">
        <v>4</v>
      </c>
      <c r="BO50">
        <v>169.92</v>
      </c>
      <c r="BP50">
        <v>66.66</v>
      </c>
      <c r="CC50">
        <v>103.26</v>
      </c>
    </row>
    <row r="51" spans="1:81" x14ac:dyDescent="0.35">
      <c r="A51">
        <v>310</v>
      </c>
      <c r="B51" t="s">
        <v>240</v>
      </c>
      <c r="C51">
        <v>2</v>
      </c>
      <c r="D51" t="s">
        <v>86</v>
      </c>
      <c r="E51">
        <v>2041168714</v>
      </c>
      <c r="F51" t="s">
        <v>241</v>
      </c>
      <c r="G51" t="s">
        <v>240</v>
      </c>
      <c r="H51" t="s">
        <v>88</v>
      </c>
      <c r="I51" t="s">
        <v>89</v>
      </c>
      <c r="J51" t="s">
        <v>89</v>
      </c>
      <c r="K51" t="s">
        <v>89</v>
      </c>
      <c r="L51" t="s">
        <v>88</v>
      </c>
      <c r="M51" t="s">
        <v>88</v>
      </c>
      <c r="O51" t="s">
        <v>88</v>
      </c>
      <c r="Q51" t="s">
        <v>105</v>
      </c>
      <c r="R51" t="s">
        <v>91</v>
      </c>
      <c r="S51" t="s">
        <v>88</v>
      </c>
      <c r="T51" t="s">
        <v>89</v>
      </c>
      <c r="U51" t="s">
        <v>88</v>
      </c>
      <c r="V51" t="s">
        <v>89</v>
      </c>
      <c r="W51" t="s">
        <v>88</v>
      </c>
      <c r="X51" t="s">
        <v>88</v>
      </c>
      <c r="Y51" t="s">
        <v>88</v>
      </c>
      <c r="AD51">
        <v>3</v>
      </c>
      <c r="AE51">
        <v>3</v>
      </c>
      <c r="AF51" t="s">
        <v>92</v>
      </c>
      <c r="AG51" t="s">
        <v>242</v>
      </c>
      <c r="AH51" t="s">
        <v>108</v>
      </c>
      <c r="AI51">
        <v>2</v>
      </c>
      <c r="AJ51">
        <v>3</v>
      </c>
      <c r="AK51">
        <v>3</v>
      </c>
      <c r="AL51" t="s">
        <v>109</v>
      </c>
      <c r="AM51" t="s">
        <v>94</v>
      </c>
      <c r="AN51" t="s">
        <v>94</v>
      </c>
      <c r="AO51">
        <v>4</v>
      </c>
      <c r="AP51">
        <v>3</v>
      </c>
      <c r="AQ51">
        <v>3</v>
      </c>
      <c r="AR51">
        <v>3</v>
      </c>
      <c r="AS51">
        <v>3</v>
      </c>
      <c r="AT51">
        <v>2</v>
      </c>
      <c r="AU51">
        <v>4</v>
      </c>
      <c r="AV51" t="s">
        <v>94</v>
      </c>
      <c r="AW51">
        <v>4</v>
      </c>
      <c r="AX51">
        <v>4</v>
      </c>
      <c r="AY51" t="s">
        <v>94</v>
      </c>
      <c r="AZ51" t="s">
        <v>94</v>
      </c>
      <c r="BA51" t="s">
        <v>94</v>
      </c>
      <c r="BB51" t="s">
        <v>94</v>
      </c>
      <c r="BC51" t="s">
        <v>94</v>
      </c>
      <c r="BD51" t="s">
        <v>94</v>
      </c>
      <c r="BE51">
        <v>4</v>
      </c>
      <c r="BF51" t="s">
        <v>94</v>
      </c>
      <c r="BG51">
        <v>4</v>
      </c>
      <c r="BH51" t="s">
        <v>96</v>
      </c>
      <c r="BI51" t="s">
        <v>96</v>
      </c>
      <c r="BJ51" t="s">
        <v>96</v>
      </c>
      <c r="BK51" t="s">
        <v>96</v>
      </c>
      <c r="BL51" t="s">
        <v>96</v>
      </c>
      <c r="BM51" t="s">
        <v>96</v>
      </c>
      <c r="BN51" t="s">
        <v>243</v>
      </c>
      <c r="BO51">
        <v>249.24</v>
      </c>
      <c r="BP51">
        <v>114.07</v>
      </c>
      <c r="CC51">
        <v>135.16999999999999</v>
      </c>
    </row>
    <row r="52" spans="1:81" x14ac:dyDescent="0.35">
      <c r="A52">
        <v>311</v>
      </c>
      <c r="B52" t="s">
        <v>244</v>
      </c>
      <c r="C52">
        <v>2</v>
      </c>
      <c r="D52" t="s">
        <v>86</v>
      </c>
      <c r="E52">
        <v>1804913330</v>
      </c>
      <c r="F52" t="s">
        <v>245</v>
      </c>
      <c r="G52" t="s">
        <v>244</v>
      </c>
      <c r="H52" t="s">
        <v>89</v>
      </c>
      <c r="I52" t="s">
        <v>89</v>
      </c>
      <c r="J52" t="s">
        <v>89</v>
      </c>
      <c r="K52" t="s">
        <v>89</v>
      </c>
      <c r="L52" t="s">
        <v>88</v>
      </c>
      <c r="M52" t="s">
        <v>88</v>
      </c>
      <c r="O52" t="s">
        <v>88</v>
      </c>
      <c r="Q52" t="s">
        <v>105</v>
      </c>
      <c r="R52" t="s">
        <v>91</v>
      </c>
      <c r="S52" t="s">
        <v>89</v>
      </c>
      <c r="T52" t="s">
        <v>88</v>
      </c>
      <c r="U52" t="s">
        <v>89</v>
      </c>
      <c r="V52" t="s">
        <v>89</v>
      </c>
      <c r="W52" t="s">
        <v>88</v>
      </c>
      <c r="X52" t="s">
        <v>89</v>
      </c>
      <c r="Y52" t="s">
        <v>89</v>
      </c>
      <c r="Z52" t="s">
        <v>246</v>
      </c>
      <c r="AD52">
        <v>3</v>
      </c>
      <c r="AE52">
        <v>4</v>
      </c>
      <c r="AF52">
        <v>4</v>
      </c>
      <c r="AH52" t="s">
        <v>149</v>
      </c>
      <c r="AI52">
        <v>3</v>
      </c>
      <c r="AJ52">
        <v>4</v>
      </c>
      <c r="AK52">
        <v>4</v>
      </c>
      <c r="AL52" t="s">
        <v>109</v>
      </c>
      <c r="AM52">
        <v>4</v>
      </c>
      <c r="AN52">
        <v>3</v>
      </c>
      <c r="AO52">
        <v>2</v>
      </c>
      <c r="AP52">
        <v>2</v>
      </c>
      <c r="AQ52">
        <v>2</v>
      </c>
      <c r="AR52">
        <v>2</v>
      </c>
      <c r="AS52">
        <v>3</v>
      </c>
      <c r="AT52">
        <v>4</v>
      </c>
      <c r="AU52">
        <v>4</v>
      </c>
      <c r="AV52">
        <v>4</v>
      </c>
      <c r="AW52">
        <v>4</v>
      </c>
      <c r="AX52">
        <v>4</v>
      </c>
      <c r="AY52">
        <v>3</v>
      </c>
      <c r="AZ52">
        <v>4</v>
      </c>
      <c r="BA52">
        <v>2</v>
      </c>
      <c r="BB52">
        <v>3</v>
      </c>
      <c r="BC52">
        <v>2</v>
      </c>
      <c r="BD52">
        <v>2</v>
      </c>
      <c r="BE52">
        <v>3</v>
      </c>
      <c r="BF52">
        <v>4</v>
      </c>
      <c r="BG52">
        <v>3</v>
      </c>
      <c r="BH52">
        <v>4</v>
      </c>
      <c r="BI52">
        <v>4</v>
      </c>
      <c r="BJ52">
        <v>4</v>
      </c>
      <c r="BK52">
        <v>3</v>
      </c>
      <c r="BL52">
        <v>4</v>
      </c>
      <c r="BM52">
        <v>3</v>
      </c>
      <c r="BO52">
        <v>366.5</v>
      </c>
      <c r="BP52">
        <v>158.47</v>
      </c>
      <c r="CC52">
        <v>208.03</v>
      </c>
    </row>
    <row r="53" spans="1:81" x14ac:dyDescent="0.35">
      <c r="A53">
        <v>312</v>
      </c>
      <c r="C53">
        <v>0</v>
      </c>
      <c r="D53" t="s">
        <v>86</v>
      </c>
      <c r="E53">
        <v>1344890086</v>
      </c>
      <c r="F53" t="s">
        <v>247</v>
      </c>
      <c r="G53" t="s">
        <v>248</v>
      </c>
      <c r="H53" t="s">
        <v>99</v>
      </c>
      <c r="I53" t="s">
        <v>99</v>
      </c>
      <c r="J53" t="s">
        <v>99</v>
      </c>
      <c r="K53" t="s">
        <v>99</v>
      </c>
      <c r="L53" t="s">
        <v>99</v>
      </c>
      <c r="M53" t="s">
        <v>99</v>
      </c>
      <c r="O53" t="s">
        <v>99</v>
      </c>
      <c r="S53" t="s">
        <v>99</v>
      </c>
      <c r="T53" t="s">
        <v>99</v>
      </c>
      <c r="U53" t="s">
        <v>99</v>
      </c>
      <c r="V53" t="s">
        <v>99</v>
      </c>
      <c r="W53" t="s">
        <v>99</v>
      </c>
      <c r="X53" t="s">
        <v>99</v>
      </c>
      <c r="Y53" t="s">
        <v>99</v>
      </c>
      <c r="BO53">
        <v>0</v>
      </c>
    </row>
    <row r="54" spans="1:81" x14ac:dyDescent="0.35">
      <c r="A54">
        <v>313</v>
      </c>
      <c r="B54" t="s">
        <v>249</v>
      </c>
      <c r="C54">
        <v>2</v>
      </c>
      <c r="D54" t="s">
        <v>86</v>
      </c>
      <c r="E54">
        <v>775109432</v>
      </c>
      <c r="F54" t="s">
        <v>250</v>
      </c>
      <c r="G54" t="s">
        <v>249</v>
      </c>
      <c r="H54" t="s">
        <v>88</v>
      </c>
      <c r="I54" t="s">
        <v>89</v>
      </c>
      <c r="J54" t="s">
        <v>89</v>
      </c>
      <c r="K54" t="s">
        <v>89</v>
      </c>
      <c r="L54" t="s">
        <v>89</v>
      </c>
      <c r="M54" t="s">
        <v>88</v>
      </c>
      <c r="O54" t="s">
        <v>89</v>
      </c>
      <c r="P54" t="s">
        <v>251</v>
      </c>
      <c r="Q54" t="s">
        <v>105</v>
      </c>
      <c r="S54" t="s">
        <v>89</v>
      </c>
      <c r="T54" t="s">
        <v>88</v>
      </c>
      <c r="U54" t="s">
        <v>89</v>
      </c>
      <c r="V54" t="s">
        <v>89</v>
      </c>
      <c r="W54" t="s">
        <v>88</v>
      </c>
      <c r="X54" t="s">
        <v>89</v>
      </c>
      <c r="Y54" t="s">
        <v>89</v>
      </c>
      <c r="AG54" t="s">
        <v>252</v>
      </c>
      <c r="AH54" t="s">
        <v>108</v>
      </c>
      <c r="AI54">
        <v>2</v>
      </c>
      <c r="AJ54">
        <v>2</v>
      </c>
      <c r="AK54">
        <v>3</v>
      </c>
      <c r="AL54" t="s">
        <v>109</v>
      </c>
      <c r="AM54" t="s">
        <v>94</v>
      </c>
      <c r="AN54">
        <v>4</v>
      </c>
      <c r="AO54">
        <v>2</v>
      </c>
      <c r="AP54">
        <v>3</v>
      </c>
      <c r="AQ54">
        <v>4</v>
      </c>
      <c r="AR54">
        <v>4</v>
      </c>
      <c r="AS54">
        <v>3</v>
      </c>
      <c r="AT54">
        <v>2</v>
      </c>
      <c r="AU54">
        <v>4</v>
      </c>
      <c r="AV54">
        <v>4</v>
      </c>
      <c r="AW54" t="s">
        <v>94</v>
      </c>
      <c r="AX54" t="s">
        <v>94</v>
      </c>
      <c r="AY54" t="s">
        <v>94</v>
      </c>
      <c r="AZ54" t="s">
        <v>94</v>
      </c>
      <c r="BA54">
        <v>3</v>
      </c>
      <c r="BB54">
        <v>4</v>
      </c>
      <c r="BC54">
        <v>3</v>
      </c>
      <c r="BD54">
        <v>3</v>
      </c>
      <c r="BE54">
        <v>2</v>
      </c>
      <c r="BF54">
        <v>3</v>
      </c>
      <c r="BG54">
        <v>4</v>
      </c>
      <c r="BH54" t="s">
        <v>96</v>
      </c>
      <c r="BI54">
        <v>4</v>
      </c>
      <c r="BJ54" t="s">
        <v>96</v>
      </c>
      <c r="BK54" t="s">
        <v>96</v>
      </c>
      <c r="BL54">
        <v>3</v>
      </c>
      <c r="BM54" t="s">
        <v>96</v>
      </c>
      <c r="BN54" t="s">
        <v>253</v>
      </c>
      <c r="BO54">
        <v>355.37</v>
      </c>
      <c r="BP54">
        <v>138.85</v>
      </c>
      <c r="CC54">
        <v>216.52</v>
      </c>
    </row>
    <row r="55" spans="1:81" x14ac:dyDescent="0.35">
      <c r="A55">
        <v>314</v>
      </c>
      <c r="B55" t="s">
        <v>254</v>
      </c>
      <c r="C55">
        <v>2</v>
      </c>
      <c r="D55" t="s">
        <v>86</v>
      </c>
      <c r="E55">
        <v>572905238</v>
      </c>
      <c r="F55" t="s">
        <v>255</v>
      </c>
      <c r="G55" t="s">
        <v>254</v>
      </c>
      <c r="H55" t="s">
        <v>88</v>
      </c>
      <c r="I55" t="s">
        <v>89</v>
      </c>
      <c r="J55" t="s">
        <v>89</v>
      </c>
      <c r="K55" t="s">
        <v>89</v>
      </c>
      <c r="L55" t="s">
        <v>88</v>
      </c>
      <c r="M55" t="s">
        <v>88</v>
      </c>
      <c r="O55" t="s">
        <v>89</v>
      </c>
      <c r="P55" t="s">
        <v>256</v>
      </c>
      <c r="Q55" t="s">
        <v>105</v>
      </c>
      <c r="S55" t="s">
        <v>89</v>
      </c>
      <c r="T55" t="s">
        <v>89</v>
      </c>
      <c r="U55" t="s">
        <v>89</v>
      </c>
      <c r="V55" t="s">
        <v>89</v>
      </c>
      <c r="W55" t="s">
        <v>88</v>
      </c>
      <c r="X55" t="s">
        <v>88</v>
      </c>
      <c r="Y55" t="s">
        <v>89</v>
      </c>
      <c r="Z55" t="s">
        <v>257</v>
      </c>
      <c r="AG55" t="s">
        <v>258</v>
      </c>
      <c r="AH55" t="s">
        <v>108</v>
      </c>
      <c r="AI55">
        <v>2</v>
      </c>
      <c r="AJ55">
        <v>3</v>
      </c>
      <c r="AK55">
        <v>4</v>
      </c>
      <c r="AL55" t="s">
        <v>109</v>
      </c>
      <c r="AM55">
        <v>4</v>
      </c>
      <c r="AN55">
        <v>4</v>
      </c>
      <c r="AO55">
        <v>2</v>
      </c>
      <c r="AP55">
        <v>3</v>
      </c>
      <c r="AQ55" t="s">
        <v>95</v>
      </c>
      <c r="AR55">
        <v>2</v>
      </c>
      <c r="AS55">
        <v>3</v>
      </c>
      <c r="AT55">
        <v>3</v>
      </c>
      <c r="AU55">
        <v>3</v>
      </c>
      <c r="AV55">
        <v>3</v>
      </c>
      <c r="AW55">
        <v>4</v>
      </c>
      <c r="AX55" t="s">
        <v>94</v>
      </c>
      <c r="AY55">
        <v>3</v>
      </c>
      <c r="AZ55">
        <v>3</v>
      </c>
      <c r="BA55">
        <v>4</v>
      </c>
      <c r="BB55">
        <v>3</v>
      </c>
      <c r="BC55">
        <v>4</v>
      </c>
      <c r="BD55">
        <v>3</v>
      </c>
      <c r="BE55">
        <v>4</v>
      </c>
      <c r="BF55" t="s">
        <v>94</v>
      </c>
      <c r="BG55">
        <v>3</v>
      </c>
      <c r="BH55">
        <v>3</v>
      </c>
      <c r="BI55">
        <v>2</v>
      </c>
      <c r="BJ55">
        <v>3</v>
      </c>
      <c r="BK55" t="s">
        <v>259</v>
      </c>
      <c r="BL55">
        <v>4</v>
      </c>
      <c r="BM55">
        <v>2</v>
      </c>
      <c r="BN55" t="s">
        <v>260</v>
      </c>
      <c r="BO55">
        <v>820.53</v>
      </c>
      <c r="BP55">
        <v>294.37</v>
      </c>
      <c r="CC55">
        <v>526.16</v>
      </c>
    </row>
    <row r="56" spans="1:81" x14ac:dyDescent="0.35">
      <c r="A56">
        <v>315</v>
      </c>
      <c r="C56">
        <v>1</v>
      </c>
      <c r="D56" t="s">
        <v>86</v>
      </c>
      <c r="E56">
        <v>2016733416</v>
      </c>
      <c r="F56" t="s">
        <v>261</v>
      </c>
      <c r="G56" t="s">
        <v>262</v>
      </c>
      <c r="H56" t="s">
        <v>88</v>
      </c>
      <c r="I56" t="s">
        <v>88</v>
      </c>
      <c r="J56" t="s">
        <v>89</v>
      </c>
      <c r="K56" t="s">
        <v>89</v>
      </c>
      <c r="L56" t="s">
        <v>88</v>
      </c>
      <c r="M56" t="s">
        <v>88</v>
      </c>
      <c r="O56" t="s">
        <v>89</v>
      </c>
      <c r="P56" t="s">
        <v>263</v>
      </c>
      <c r="Q56" t="s">
        <v>105</v>
      </c>
      <c r="S56" t="s">
        <v>88</v>
      </c>
      <c r="T56" t="s">
        <v>88</v>
      </c>
      <c r="U56" t="s">
        <v>89</v>
      </c>
      <c r="V56" t="s">
        <v>89</v>
      </c>
      <c r="W56" t="s">
        <v>88</v>
      </c>
      <c r="X56" t="s">
        <v>88</v>
      </c>
      <c r="Y56" t="s">
        <v>89</v>
      </c>
      <c r="AH56" t="s">
        <v>108</v>
      </c>
      <c r="BO56">
        <v>507.26</v>
      </c>
      <c r="BP56">
        <v>507.26</v>
      </c>
    </row>
    <row r="57" spans="1:81" x14ac:dyDescent="0.35">
      <c r="A57">
        <v>316</v>
      </c>
      <c r="B57" t="s">
        <v>264</v>
      </c>
      <c r="C57">
        <v>2</v>
      </c>
      <c r="D57" t="s">
        <v>86</v>
      </c>
      <c r="E57">
        <v>1385851904</v>
      </c>
      <c r="F57" t="s">
        <v>265</v>
      </c>
      <c r="G57" t="s">
        <v>264</v>
      </c>
      <c r="H57" t="s">
        <v>88</v>
      </c>
      <c r="I57" t="s">
        <v>88</v>
      </c>
      <c r="J57" t="s">
        <v>89</v>
      </c>
      <c r="K57" t="s">
        <v>89</v>
      </c>
      <c r="L57" t="s">
        <v>89</v>
      </c>
      <c r="M57" t="s">
        <v>89</v>
      </c>
      <c r="O57" t="s">
        <v>89</v>
      </c>
      <c r="P57" t="s">
        <v>266</v>
      </c>
      <c r="Q57" t="s">
        <v>90</v>
      </c>
      <c r="S57" t="s">
        <v>88</v>
      </c>
      <c r="T57" t="s">
        <v>88</v>
      </c>
      <c r="U57" t="s">
        <v>89</v>
      </c>
      <c r="V57" t="s">
        <v>89</v>
      </c>
      <c r="W57" t="s">
        <v>89</v>
      </c>
      <c r="X57" t="s">
        <v>89</v>
      </c>
      <c r="Y57" t="s">
        <v>89</v>
      </c>
      <c r="AG57" t="s">
        <v>267</v>
      </c>
      <c r="AH57" t="s">
        <v>149</v>
      </c>
      <c r="AI57">
        <v>2</v>
      </c>
      <c r="AJ57">
        <v>2</v>
      </c>
      <c r="AK57">
        <v>3</v>
      </c>
      <c r="AL57">
        <v>4</v>
      </c>
      <c r="AM57">
        <v>4</v>
      </c>
      <c r="AN57">
        <v>4</v>
      </c>
      <c r="AO57">
        <v>2</v>
      </c>
      <c r="AP57">
        <v>2</v>
      </c>
      <c r="AQ57">
        <v>3</v>
      </c>
      <c r="AR57">
        <v>2</v>
      </c>
      <c r="AS57">
        <v>4</v>
      </c>
      <c r="AT57">
        <v>4</v>
      </c>
      <c r="AU57">
        <v>4</v>
      </c>
      <c r="AV57">
        <v>4</v>
      </c>
      <c r="AW57">
        <v>4</v>
      </c>
      <c r="AX57">
        <v>4</v>
      </c>
      <c r="AY57">
        <v>3</v>
      </c>
      <c r="AZ57">
        <v>3</v>
      </c>
      <c r="BA57">
        <v>4</v>
      </c>
      <c r="BB57">
        <v>4</v>
      </c>
      <c r="BC57">
        <v>4</v>
      </c>
      <c r="BD57">
        <v>4</v>
      </c>
      <c r="BE57">
        <v>3</v>
      </c>
      <c r="BF57">
        <v>3</v>
      </c>
      <c r="BG57">
        <v>4</v>
      </c>
      <c r="BH57">
        <v>4</v>
      </c>
      <c r="BI57">
        <v>4</v>
      </c>
      <c r="BJ57">
        <v>4</v>
      </c>
      <c r="BK57">
        <v>4</v>
      </c>
      <c r="BL57">
        <v>4</v>
      </c>
      <c r="BM57">
        <v>4</v>
      </c>
      <c r="BO57">
        <v>342.36</v>
      </c>
      <c r="BP57">
        <v>223.49</v>
      </c>
      <c r="CC57">
        <v>118.87</v>
      </c>
    </row>
    <row r="58" spans="1:81" x14ac:dyDescent="0.35">
      <c r="A58">
        <v>317</v>
      </c>
      <c r="B58" t="s">
        <v>268</v>
      </c>
      <c r="C58">
        <v>2</v>
      </c>
      <c r="D58" t="s">
        <v>86</v>
      </c>
      <c r="E58">
        <v>980106541</v>
      </c>
      <c r="F58" t="s">
        <v>269</v>
      </c>
      <c r="G58" t="s">
        <v>268</v>
      </c>
      <c r="H58" t="s">
        <v>88</v>
      </c>
      <c r="I58" t="s">
        <v>88</v>
      </c>
      <c r="J58" t="s">
        <v>89</v>
      </c>
      <c r="K58" t="s">
        <v>89</v>
      </c>
      <c r="L58" t="s">
        <v>88</v>
      </c>
      <c r="M58" t="s">
        <v>88</v>
      </c>
      <c r="O58" t="s">
        <v>89</v>
      </c>
      <c r="P58" t="s">
        <v>270</v>
      </c>
      <c r="Q58" t="s">
        <v>105</v>
      </c>
      <c r="S58" t="s">
        <v>88</v>
      </c>
      <c r="T58" t="s">
        <v>88</v>
      </c>
      <c r="U58" t="s">
        <v>89</v>
      </c>
      <c r="V58" t="s">
        <v>89</v>
      </c>
      <c r="W58" t="s">
        <v>88</v>
      </c>
      <c r="X58" t="s">
        <v>88</v>
      </c>
      <c r="Y58" t="s">
        <v>89</v>
      </c>
      <c r="AH58" t="s">
        <v>108</v>
      </c>
      <c r="AI58">
        <v>3</v>
      </c>
      <c r="AJ58">
        <v>2</v>
      </c>
      <c r="AK58">
        <v>4</v>
      </c>
      <c r="AL58">
        <v>3</v>
      </c>
      <c r="AM58">
        <v>3</v>
      </c>
      <c r="AN58">
        <v>2</v>
      </c>
      <c r="AO58">
        <v>4</v>
      </c>
      <c r="AP58">
        <v>3</v>
      </c>
      <c r="AQ58">
        <v>4</v>
      </c>
      <c r="AR58">
        <v>2</v>
      </c>
      <c r="AS58">
        <v>3</v>
      </c>
      <c r="AT58">
        <v>3</v>
      </c>
      <c r="AU58">
        <v>4</v>
      </c>
      <c r="AV58">
        <v>3</v>
      </c>
      <c r="AW58">
        <v>4</v>
      </c>
      <c r="AX58">
        <v>3</v>
      </c>
      <c r="AY58">
        <v>4</v>
      </c>
      <c r="AZ58" t="s">
        <v>95</v>
      </c>
      <c r="BA58">
        <v>3</v>
      </c>
      <c r="BB58">
        <v>4</v>
      </c>
      <c r="BC58">
        <v>4</v>
      </c>
      <c r="BD58">
        <v>3</v>
      </c>
      <c r="BE58">
        <v>4</v>
      </c>
      <c r="BF58" t="s">
        <v>94</v>
      </c>
      <c r="BG58" t="s">
        <v>96</v>
      </c>
      <c r="BH58">
        <v>3</v>
      </c>
      <c r="BI58" t="s">
        <v>96</v>
      </c>
      <c r="BJ58" t="s">
        <v>96</v>
      </c>
      <c r="BK58" t="s">
        <v>259</v>
      </c>
      <c r="BL58" t="s">
        <v>96</v>
      </c>
      <c r="BM58" t="s">
        <v>96</v>
      </c>
      <c r="BN58" t="s">
        <v>271</v>
      </c>
      <c r="BO58">
        <v>172.26</v>
      </c>
      <c r="BP58">
        <v>49.27</v>
      </c>
      <c r="CC58">
        <v>122.99</v>
      </c>
    </row>
    <row r="59" spans="1:81" x14ac:dyDescent="0.35">
      <c r="A59">
        <v>318</v>
      </c>
      <c r="B59" t="s">
        <v>272</v>
      </c>
      <c r="C59">
        <v>2</v>
      </c>
      <c r="D59" t="s">
        <v>86</v>
      </c>
      <c r="E59">
        <v>1463380841</v>
      </c>
      <c r="F59" t="s">
        <v>273</v>
      </c>
      <c r="G59" t="s">
        <v>272</v>
      </c>
      <c r="H59" t="s">
        <v>88</v>
      </c>
      <c r="I59" t="s">
        <v>89</v>
      </c>
      <c r="J59" t="s">
        <v>89</v>
      </c>
      <c r="K59" t="s">
        <v>89</v>
      </c>
      <c r="L59" t="s">
        <v>88</v>
      </c>
      <c r="M59" t="s">
        <v>88</v>
      </c>
      <c r="O59" t="s">
        <v>89</v>
      </c>
      <c r="P59" t="s">
        <v>274</v>
      </c>
      <c r="Q59" t="s">
        <v>105</v>
      </c>
      <c r="S59" t="s">
        <v>89</v>
      </c>
      <c r="T59" t="s">
        <v>89</v>
      </c>
      <c r="U59" t="s">
        <v>89</v>
      </c>
      <c r="V59" t="s">
        <v>89</v>
      </c>
      <c r="W59" t="s">
        <v>88</v>
      </c>
      <c r="X59" t="s">
        <v>88</v>
      </c>
      <c r="Y59" t="s">
        <v>88</v>
      </c>
      <c r="AH59" t="s">
        <v>149</v>
      </c>
      <c r="AI59">
        <v>2</v>
      </c>
      <c r="AJ59">
        <v>4</v>
      </c>
      <c r="AK59">
        <v>3</v>
      </c>
      <c r="AL59" t="s">
        <v>109</v>
      </c>
      <c r="AM59">
        <v>3</v>
      </c>
      <c r="AN59">
        <v>3</v>
      </c>
      <c r="AO59" t="s">
        <v>95</v>
      </c>
      <c r="AP59">
        <v>2</v>
      </c>
      <c r="AQ59" t="s">
        <v>95</v>
      </c>
      <c r="AR59">
        <v>2</v>
      </c>
      <c r="AS59">
        <v>3</v>
      </c>
      <c r="AT59" t="s">
        <v>94</v>
      </c>
      <c r="AU59">
        <v>2</v>
      </c>
      <c r="AV59">
        <v>3</v>
      </c>
      <c r="AW59">
        <v>4</v>
      </c>
      <c r="AX59">
        <v>4</v>
      </c>
      <c r="AY59" t="s">
        <v>95</v>
      </c>
      <c r="AZ59" t="s">
        <v>95</v>
      </c>
      <c r="BA59" t="s">
        <v>95</v>
      </c>
      <c r="BB59">
        <v>2</v>
      </c>
      <c r="BC59" t="s">
        <v>95</v>
      </c>
      <c r="BD59">
        <v>2</v>
      </c>
      <c r="BE59">
        <v>2</v>
      </c>
      <c r="BF59">
        <v>2</v>
      </c>
      <c r="BG59">
        <v>3</v>
      </c>
      <c r="BH59">
        <v>4</v>
      </c>
      <c r="BI59">
        <v>4</v>
      </c>
      <c r="BJ59">
        <v>3</v>
      </c>
      <c r="BK59" t="s">
        <v>259</v>
      </c>
      <c r="BL59">
        <v>3</v>
      </c>
      <c r="BM59">
        <v>3</v>
      </c>
      <c r="BO59">
        <v>386.17</v>
      </c>
      <c r="BP59">
        <v>263.94</v>
      </c>
      <c r="CC59">
        <v>122.23</v>
      </c>
    </row>
    <row r="60" spans="1:81" x14ac:dyDescent="0.35">
      <c r="A60">
        <v>319</v>
      </c>
      <c r="C60">
        <v>0</v>
      </c>
      <c r="D60" t="s">
        <v>86</v>
      </c>
      <c r="E60">
        <v>1180018098</v>
      </c>
      <c r="F60" t="s">
        <v>275</v>
      </c>
      <c r="G60" t="s">
        <v>275</v>
      </c>
      <c r="H60" t="s">
        <v>99</v>
      </c>
      <c r="I60" t="s">
        <v>99</v>
      </c>
      <c r="J60" t="s">
        <v>99</v>
      </c>
      <c r="K60" t="s">
        <v>99</v>
      </c>
      <c r="L60" t="s">
        <v>99</v>
      </c>
      <c r="M60" t="s">
        <v>99</v>
      </c>
      <c r="O60" t="s">
        <v>99</v>
      </c>
      <c r="S60" t="s">
        <v>99</v>
      </c>
      <c r="T60" t="s">
        <v>99</v>
      </c>
      <c r="U60" t="s">
        <v>99</v>
      </c>
      <c r="V60" t="s">
        <v>99</v>
      </c>
      <c r="W60" t="s">
        <v>99</v>
      </c>
      <c r="X60" t="s">
        <v>99</v>
      </c>
      <c r="Y60" t="s">
        <v>99</v>
      </c>
      <c r="BO60">
        <v>0</v>
      </c>
    </row>
    <row r="61" spans="1:81" x14ac:dyDescent="0.35">
      <c r="A61">
        <v>320</v>
      </c>
      <c r="B61" t="s">
        <v>276</v>
      </c>
      <c r="C61">
        <v>2</v>
      </c>
      <c r="D61" t="s">
        <v>86</v>
      </c>
      <c r="E61">
        <v>1430333159</v>
      </c>
      <c r="F61" t="s">
        <v>277</v>
      </c>
      <c r="G61" t="s">
        <v>276</v>
      </c>
      <c r="H61" t="s">
        <v>88</v>
      </c>
      <c r="I61" t="s">
        <v>88</v>
      </c>
      <c r="J61" t="s">
        <v>89</v>
      </c>
      <c r="K61" t="s">
        <v>89</v>
      </c>
      <c r="L61" t="s">
        <v>88</v>
      </c>
      <c r="M61" t="s">
        <v>88</v>
      </c>
      <c r="O61" t="s">
        <v>89</v>
      </c>
      <c r="P61" t="s">
        <v>278</v>
      </c>
      <c r="Q61" t="s">
        <v>105</v>
      </c>
      <c r="S61" t="s">
        <v>89</v>
      </c>
      <c r="T61" t="s">
        <v>89</v>
      </c>
      <c r="U61" t="s">
        <v>89</v>
      </c>
      <c r="V61" t="s">
        <v>89</v>
      </c>
      <c r="W61" t="s">
        <v>89</v>
      </c>
      <c r="X61" t="s">
        <v>89</v>
      </c>
      <c r="Y61" t="s">
        <v>89</v>
      </c>
      <c r="Z61" t="s">
        <v>279</v>
      </c>
      <c r="AG61" t="s">
        <v>280</v>
      </c>
      <c r="AH61" t="s">
        <v>108</v>
      </c>
      <c r="AI61" t="s">
        <v>115</v>
      </c>
      <c r="AJ61">
        <v>3</v>
      </c>
      <c r="AK61">
        <v>3</v>
      </c>
      <c r="AL61" t="s">
        <v>109</v>
      </c>
      <c r="AM61">
        <v>4</v>
      </c>
      <c r="AN61" t="s">
        <v>94</v>
      </c>
      <c r="AO61">
        <v>4</v>
      </c>
      <c r="AP61" t="s">
        <v>94</v>
      </c>
      <c r="AQ61">
        <v>4</v>
      </c>
      <c r="AR61" t="s">
        <v>94</v>
      </c>
      <c r="AS61">
        <v>2</v>
      </c>
      <c r="AT61" t="s">
        <v>95</v>
      </c>
      <c r="AU61">
        <v>4</v>
      </c>
      <c r="AV61" t="s">
        <v>94</v>
      </c>
      <c r="AW61">
        <v>3</v>
      </c>
      <c r="AX61">
        <v>3</v>
      </c>
      <c r="AY61" t="s">
        <v>94</v>
      </c>
      <c r="AZ61" t="s">
        <v>94</v>
      </c>
      <c r="BA61">
        <v>3</v>
      </c>
      <c r="BB61">
        <v>2</v>
      </c>
      <c r="BC61">
        <v>3</v>
      </c>
      <c r="BD61">
        <v>3</v>
      </c>
      <c r="BE61">
        <v>4</v>
      </c>
      <c r="BF61" t="s">
        <v>94</v>
      </c>
      <c r="BG61" t="s">
        <v>96</v>
      </c>
      <c r="BH61" t="s">
        <v>96</v>
      </c>
      <c r="BI61" t="s">
        <v>96</v>
      </c>
      <c r="BJ61" t="s">
        <v>96</v>
      </c>
      <c r="BK61" t="s">
        <v>96</v>
      </c>
      <c r="BL61" t="s">
        <v>96</v>
      </c>
      <c r="BM61" t="s">
        <v>96</v>
      </c>
      <c r="BN61" t="s">
        <v>281</v>
      </c>
      <c r="BO61">
        <v>311.45</v>
      </c>
      <c r="BP61">
        <v>146.04</v>
      </c>
      <c r="CC61">
        <v>165.41</v>
      </c>
    </row>
    <row r="62" spans="1:81" x14ac:dyDescent="0.35">
      <c r="A62">
        <v>321</v>
      </c>
      <c r="B62" t="s">
        <v>282</v>
      </c>
      <c r="C62">
        <v>2</v>
      </c>
      <c r="D62" t="s">
        <v>86</v>
      </c>
      <c r="E62">
        <v>2076525219</v>
      </c>
      <c r="F62" t="s">
        <v>283</v>
      </c>
      <c r="G62" t="s">
        <v>282</v>
      </c>
      <c r="H62" t="s">
        <v>89</v>
      </c>
      <c r="I62" t="s">
        <v>89</v>
      </c>
      <c r="J62" t="s">
        <v>88</v>
      </c>
      <c r="K62" t="s">
        <v>89</v>
      </c>
      <c r="L62" t="s">
        <v>89</v>
      </c>
      <c r="M62" t="s">
        <v>89</v>
      </c>
      <c r="O62" t="s">
        <v>88</v>
      </c>
      <c r="Q62" t="s">
        <v>90</v>
      </c>
      <c r="R62" t="s">
        <v>91</v>
      </c>
      <c r="S62" t="s">
        <v>88</v>
      </c>
      <c r="T62" t="s">
        <v>88</v>
      </c>
      <c r="U62" t="s">
        <v>89</v>
      </c>
      <c r="V62" t="s">
        <v>89</v>
      </c>
      <c r="W62" t="s">
        <v>88</v>
      </c>
      <c r="X62" t="s">
        <v>88</v>
      </c>
      <c r="Y62" t="s">
        <v>89</v>
      </c>
      <c r="AD62" t="s">
        <v>131</v>
      </c>
      <c r="AE62" t="s">
        <v>92</v>
      </c>
      <c r="AF62" t="s">
        <v>131</v>
      </c>
      <c r="AH62" t="s">
        <v>93</v>
      </c>
      <c r="AI62">
        <v>2</v>
      </c>
      <c r="AJ62">
        <v>3</v>
      </c>
      <c r="AK62">
        <v>3</v>
      </c>
      <c r="AL62" t="s">
        <v>109</v>
      </c>
      <c r="AM62">
        <v>4</v>
      </c>
      <c r="AN62" t="s">
        <v>94</v>
      </c>
      <c r="AO62">
        <v>3</v>
      </c>
      <c r="AP62">
        <v>2</v>
      </c>
      <c r="AQ62">
        <v>2</v>
      </c>
      <c r="AR62">
        <v>2</v>
      </c>
      <c r="AS62">
        <v>4</v>
      </c>
      <c r="AT62" t="s">
        <v>94</v>
      </c>
      <c r="AU62">
        <v>3</v>
      </c>
      <c r="AV62">
        <v>4</v>
      </c>
      <c r="AW62">
        <v>4</v>
      </c>
      <c r="AX62" t="s">
        <v>94</v>
      </c>
      <c r="AY62">
        <v>3</v>
      </c>
      <c r="AZ62">
        <v>3</v>
      </c>
      <c r="BA62">
        <v>4</v>
      </c>
      <c r="BB62">
        <v>4</v>
      </c>
      <c r="BC62">
        <v>4</v>
      </c>
      <c r="BD62" t="s">
        <v>94</v>
      </c>
      <c r="BE62">
        <v>4</v>
      </c>
      <c r="BF62" t="s">
        <v>94</v>
      </c>
      <c r="BG62">
        <v>4</v>
      </c>
      <c r="BH62" t="s">
        <v>96</v>
      </c>
      <c r="BI62">
        <v>4</v>
      </c>
      <c r="BJ62">
        <v>4</v>
      </c>
      <c r="BK62" t="s">
        <v>96</v>
      </c>
      <c r="BL62">
        <v>4</v>
      </c>
      <c r="BM62" t="s">
        <v>96</v>
      </c>
      <c r="BO62">
        <v>314.23</v>
      </c>
      <c r="BP62">
        <v>143.38999999999999</v>
      </c>
      <c r="CC62">
        <v>170.84</v>
      </c>
    </row>
    <row r="63" spans="1:81" x14ac:dyDescent="0.35">
      <c r="A63">
        <v>322</v>
      </c>
      <c r="B63" t="s">
        <v>284</v>
      </c>
      <c r="C63">
        <v>2</v>
      </c>
      <c r="D63" t="s">
        <v>86</v>
      </c>
      <c r="E63">
        <v>381303916</v>
      </c>
      <c r="F63" t="s">
        <v>285</v>
      </c>
      <c r="G63" t="s">
        <v>284</v>
      </c>
      <c r="H63" t="s">
        <v>88</v>
      </c>
      <c r="I63" t="s">
        <v>88</v>
      </c>
      <c r="J63" t="s">
        <v>89</v>
      </c>
      <c r="K63" t="s">
        <v>89</v>
      </c>
      <c r="L63" t="s">
        <v>89</v>
      </c>
      <c r="M63" t="s">
        <v>88</v>
      </c>
      <c r="O63" t="s">
        <v>88</v>
      </c>
      <c r="Q63" t="s">
        <v>105</v>
      </c>
      <c r="R63" t="s">
        <v>89</v>
      </c>
      <c r="S63" t="s">
        <v>88</v>
      </c>
      <c r="T63" t="s">
        <v>88</v>
      </c>
      <c r="U63" t="s">
        <v>89</v>
      </c>
      <c r="V63" t="s">
        <v>89</v>
      </c>
      <c r="W63" t="s">
        <v>88</v>
      </c>
      <c r="X63" t="s">
        <v>88</v>
      </c>
      <c r="Y63" t="s">
        <v>89</v>
      </c>
      <c r="AD63" t="s">
        <v>106</v>
      </c>
      <c r="AE63" t="s">
        <v>106</v>
      </c>
      <c r="AF63" t="s">
        <v>106</v>
      </c>
      <c r="AG63" t="s">
        <v>286</v>
      </c>
      <c r="AH63" t="s">
        <v>93</v>
      </c>
      <c r="AI63">
        <v>3</v>
      </c>
      <c r="AJ63">
        <v>4</v>
      </c>
      <c r="AK63" t="s">
        <v>109</v>
      </c>
      <c r="AL63" t="s">
        <v>109</v>
      </c>
      <c r="AM63" t="s">
        <v>94</v>
      </c>
      <c r="AN63">
        <v>3</v>
      </c>
      <c r="AO63">
        <v>3</v>
      </c>
      <c r="AP63">
        <v>3</v>
      </c>
      <c r="AQ63">
        <v>2</v>
      </c>
      <c r="AR63" t="s">
        <v>95</v>
      </c>
      <c r="AS63">
        <v>4</v>
      </c>
      <c r="AT63" t="s">
        <v>94</v>
      </c>
      <c r="AU63">
        <v>4</v>
      </c>
      <c r="AV63">
        <v>3</v>
      </c>
      <c r="AW63" t="s">
        <v>94</v>
      </c>
      <c r="AX63" t="s">
        <v>94</v>
      </c>
      <c r="AY63" t="s">
        <v>94</v>
      </c>
      <c r="AZ63" t="s">
        <v>94</v>
      </c>
      <c r="BA63">
        <v>3</v>
      </c>
      <c r="BB63" t="s">
        <v>94</v>
      </c>
      <c r="BC63">
        <v>3</v>
      </c>
      <c r="BD63" t="s">
        <v>94</v>
      </c>
      <c r="BE63" t="s">
        <v>95</v>
      </c>
      <c r="BF63" t="s">
        <v>95</v>
      </c>
      <c r="BG63" t="s">
        <v>96</v>
      </c>
      <c r="BH63" t="s">
        <v>96</v>
      </c>
      <c r="BI63" t="s">
        <v>96</v>
      </c>
      <c r="BJ63" t="s">
        <v>96</v>
      </c>
      <c r="BK63">
        <v>3</v>
      </c>
      <c r="BL63" t="s">
        <v>96</v>
      </c>
      <c r="BM63">
        <v>3</v>
      </c>
      <c r="BN63" t="s">
        <v>287</v>
      </c>
      <c r="BO63">
        <v>480.31</v>
      </c>
      <c r="BP63">
        <v>124.28</v>
      </c>
      <c r="CC63">
        <v>356.03</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5430E-FEF6-481C-A09A-2C7B1F6BC14B}">
  <dimension ref="A1:CG52"/>
  <sheetViews>
    <sheetView tabSelected="1" zoomScaleNormal="100" workbookViewId="0">
      <selection activeCell="D23" sqref="D23"/>
    </sheetView>
  </sheetViews>
  <sheetFormatPr baseColWidth="10" defaultRowHeight="12.75" x14ac:dyDescent="0.35"/>
  <cols>
    <col min="2" max="2" width="12.6640625" customWidth="1"/>
    <col min="6" max="6" width="19.6640625" customWidth="1"/>
    <col min="7" max="7" width="23.46484375" customWidth="1"/>
    <col min="15" max="15" width="43.86328125" bestFit="1" customWidth="1"/>
    <col min="16" max="16" width="25.19921875" customWidth="1"/>
    <col min="17" max="17" width="24.6640625" customWidth="1"/>
    <col min="34" max="34" width="44.265625" customWidth="1"/>
  </cols>
  <sheetData>
    <row r="1" spans="1:8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row>
    <row r="2" spans="1:85" x14ac:dyDescent="0.35">
      <c r="A2">
        <v>261</v>
      </c>
      <c r="B2" t="s">
        <v>85</v>
      </c>
      <c r="C2">
        <v>2</v>
      </c>
      <c r="D2" t="s">
        <v>86</v>
      </c>
      <c r="E2">
        <v>1810978913</v>
      </c>
      <c r="F2" t="s">
        <v>87</v>
      </c>
      <c r="G2" t="s">
        <v>85</v>
      </c>
      <c r="H2" t="s">
        <v>88</v>
      </c>
      <c r="I2" t="s">
        <v>88</v>
      </c>
      <c r="J2" t="s">
        <v>88</v>
      </c>
      <c r="K2" t="s">
        <v>89</v>
      </c>
      <c r="L2" t="s">
        <v>89</v>
      </c>
      <c r="M2" t="s">
        <v>89</v>
      </c>
      <c r="O2" t="s">
        <v>88</v>
      </c>
      <c r="Q2" t="s">
        <v>90</v>
      </c>
      <c r="R2" t="s">
        <v>91</v>
      </c>
      <c r="S2" t="s">
        <v>89</v>
      </c>
      <c r="T2" t="s">
        <v>89</v>
      </c>
      <c r="U2" t="s">
        <v>89</v>
      </c>
      <c r="V2" t="s">
        <v>89</v>
      </c>
      <c r="W2" t="s">
        <v>88</v>
      </c>
      <c r="X2" t="s">
        <v>89</v>
      </c>
      <c r="Y2" t="s">
        <v>88</v>
      </c>
      <c r="AD2">
        <v>4</v>
      </c>
      <c r="AE2" t="s">
        <v>92</v>
      </c>
      <c r="AF2">
        <v>4</v>
      </c>
      <c r="AH2" t="s">
        <v>93</v>
      </c>
      <c r="AI2">
        <v>2</v>
      </c>
      <c r="AJ2">
        <v>3</v>
      </c>
      <c r="AK2">
        <v>3</v>
      </c>
      <c r="AL2">
        <v>4</v>
      </c>
      <c r="AM2">
        <v>4</v>
      </c>
      <c r="AN2" t="s">
        <v>94</v>
      </c>
      <c r="AO2">
        <v>3</v>
      </c>
      <c r="AP2">
        <v>3</v>
      </c>
      <c r="AQ2">
        <v>2</v>
      </c>
      <c r="AR2">
        <v>2</v>
      </c>
      <c r="AS2" t="s">
        <v>95</v>
      </c>
      <c r="AT2">
        <v>3</v>
      </c>
      <c r="AU2">
        <v>4</v>
      </c>
      <c r="AV2" t="s">
        <v>94</v>
      </c>
      <c r="AW2">
        <v>3</v>
      </c>
      <c r="AX2" t="s">
        <v>94</v>
      </c>
      <c r="AY2">
        <v>2</v>
      </c>
      <c r="AZ2">
        <v>3</v>
      </c>
      <c r="BA2">
        <v>2</v>
      </c>
      <c r="BB2">
        <v>3</v>
      </c>
      <c r="BC2">
        <v>2</v>
      </c>
      <c r="BD2">
        <v>3</v>
      </c>
      <c r="BE2">
        <v>3</v>
      </c>
      <c r="BF2">
        <v>4</v>
      </c>
      <c r="BG2" t="s">
        <v>96</v>
      </c>
      <c r="BH2" t="s">
        <v>96</v>
      </c>
      <c r="BI2">
        <v>4</v>
      </c>
      <c r="BJ2" t="s">
        <v>96</v>
      </c>
      <c r="BK2">
        <v>4</v>
      </c>
      <c r="BL2">
        <v>4</v>
      </c>
      <c r="BM2">
        <v>4</v>
      </c>
      <c r="BO2">
        <v>284.79000000000002</v>
      </c>
      <c r="BP2">
        <v>110.49</v>
      </c>
      <c r="CC2">
        <v>174.3</v>
      </c>
    </row>
    <row r="3" spans="1:85" x14ac:dyDescent="0.35">
      <c r="A3">
        <v>265</v>
      </c>
      <c r="B3" t="s">
        <v>103</v>
      </c>
      <c r="C3">
        <v>2</v>
      </c>
      <c r="D3" t="s">
        <v>86</v>
      </c>
      <c r="E3">
        <v>1979250957</v>
      </c>
      <c r="F3" t="s">
        <v>104</v>
      </c>
      <c r="G3" t="s">
        <v>103</v>
      </c>
      <c r="H3" t="s">
        <v>88</v>
      </c>
      <c r="I3" t="s">
        <v>89</v>
      </c>
      <c r="J3" t="s">
        <v>89</v>
      </c>
      <c r="K3" t="s">
        <v>89</v>
      </c>
      <c r="L3" t="s">
        <v>89</v>
      </c>
      <c r="M3" t="s">
        <v>89</v>
      </c>
      <c r="O3" t="s">
        <v>88</v>
      </c>
      <c r="Q3" t="s">
        <v>105</v>
      </c>
      <c r="R3" t="s">
        <v>91</v>
      </c>
      <c r="S3" t="s">
        <v>88</v>
      </c>
      <c r="T3" t="s">
        <v>89</v>
      </c>
      <c r="U3" t="s">
        <v>89</v>
      </c>
      <c r="V3" t="s">
        <v>89</v>
      </c>
      <c r="W3" t="s">
        <v>89</v>
      </c>
      <c r="X3" t="s">
        <v>88</v>
      </c>
      <c r="Y3" t="s">
        <v>89</v>
      </c>
      <c r="AD3">
        <v>3</v>
      </c>
      <c r="AE3">
        <v>4</v>
      </c>
      <c r="AF3" t="s">
        <v>106</v>
      </c>
      <c r="AG3" t="s">
        <v>107</v>
      </c>
      <c r="AH3" t="s">
        <v>108</v>
      </c>
      <c r="AI3">
        <v>2</v>
      </c>
      <c r="AJ3">
        <v>3</v>
      </c>
      <c r="AK3">
        <v>4</v>
      </c>
      <c r="AL3" t="s">
        <v>109</v>
      </c>
      <c r="AM3">
        <v>4</v>
      </c>
      <c r="AN3" t="s">
        <v>94</v>
      </c>
      <c r="AO3">
        <v>3</v>
      </c>
      <c r="AP3" t="s">
        <v>95</v>
      </c>
      <c r="AQ3" t="s">
        <v>94</v>
      </c>
      <c r="AR3" t="s">
        <v>94</v>
      </c>
      <c r="AS3">
        <v>3</v>
      </c>
      <c r="AT3">
        <v>3</v>
      </c>
      <c r="AU3">
        <v>4</v>
      </c>
      <c r="AV3" t="s">
        <v>94</v>
      </c>
      <c r="AW3">
        <v>4</v>
      </c>
      <c r="AX3" t="s">
        <v>94</v>
      </c>
      <c r="AY3">
        <v>4</v>
      </c>
      <c r="AZ3">
        <v>2</v>
      </c>
      <c r="BA3">
        <v>4</v>
      </c>
      <c r="BB3">
        <v>2</v>
      </c>
      <c r="BC3">
        <v>4</v>
      </c>
      <c r="BD3">
        <v>4</v>
      </c>
      <c r="BE3">
        <v>4</v>
      </c>
      <c r="BF3">
        <v>4</v>
      </c>
      <c r="BG3" t="s">
        <v>96</v>
      </c>
      <c r="BH3" t="s">
        <v>96</v>
      </c>
      <c r="BI3" t="s">
        <v>96</v>
      </c>
      <c r="BJ3" t="s">
        <v>96</v>
      </c>
      <c r="BK3" t="s">
        <v>96</v>
      </c>
      <c r="BL3" t="s">
        <v>96</v>
      </c>
      <c r="BM3" t="s">
        <v>96</v>
      </c>
      <c r="BN3" t="s">
        <v>110</v>
      </c>
      <c r="BO3">
        <v>359.25</v>
      </c>
      <c r="BP3">
        <v>157.11000000000001</v>
      </c>
      <c r="CC3">
        <v>202.14</v>
      </c>
    </row>
    <row r="4" spans="1:85" x14ac:dyDescent="0.35">
      <c r="A4">
        <v>266</v>
      </c>
      <c r="B4" t="s">
        <v>111</v>
      </c>
      <c r="C4">
        <v>2</v>
      </c>
      <c r="D4" t="s">
        <v>86</v>
      </c>
      <c r="E4">
        <v>2005128343</v>
      </c>
      <c r="F4" t="s">
        <v>112</v>
      </c>
      <c r="G4" t="s">
        <v>111</v>
      </c>
      <c r="H4" t="s">
        <v>88</v>
      </c>
      <c r="I4" t="s">
        <v>89</v>
      </c>
      <c r="J4" t="s">
        <v>89</v>
      </c>
      <c r="K4" t="s">
        <v>89</v>
      </c>
      <c r="L4" t="s">
        <v>88</v>
      </c>
      <c r="M4" t="s">
        <v>89</v>
      </c>
      <c r="O4" t="s">
        <v>88</v>
      </c>
      <c r="Q4" t="s">
        <v>90</v>
      </c>
      <c r="R4" t="s">
        <v>89</v>
      </c>
      <c r="S4" t="s">
        <v>88</v>
      </c>
      <c r="T4" t="s">
        <v>89</v>
      </c>
      <c r="U4" t="s">
        <v>89</v>
      </c>
      <c r="V4" t="s">
        <v>89</v>
      </c>
      <c r="W4" t="s">
        <v>88</v>
      </c>
      <c r="X4" t="s">
        <v>88</v>
      </c>
      <c r="Y4" t="s">
        <v>89</v>
      </c>
      <c r="AD4">
        <v>2</v>
      </c>
      <c r="AE4" t="s">
        <v>92</v>
      </c>
      <c r="AF4" t="s">
        <v>92</v>
      </c>
      <c r="AH4" t="s">
        <v>108</v>
      </c>
      <c r="AI4">
        <v>3</v>
      </c>
      <c r="AJ4">
        <v>2</v>
      </c>
      <c r="AK4">
        <v>3</v>
      </c>
      <c r="AL4" t="s">
        <v>109</v>
      </c>
      <c r="AM4">
        <v>3</v>
      </c>
      <c r="AN4">
        <v>4</v>
      </c>
      <c r="AO4" t="s">
        <v>95</v>
      </c>
      <c r="AP4">
        <v>2</v>
      </c>
      <c r="AQ4">
        <v>3</v>
      </c>
      <c r="AR4">
        <v>4</v>
      </c>
      <c r="AS4">
        <v>3</v>
      </c>
      <c r="AT4">
        <v>4</v>
      </c>
      <c r="AU4">
        <v>4</v>
      </c>
      <c r="AV4">
        <v>4</v>
      </c>
      <c r="AW4">
        <v>3</v>
      </c>
      <c r="AX4" t="s">
        <v>94</v>
      </c>
      <c r="AY4" t="s">
        <v>94</v>
      </c>
      <c r="AZ4" t="s">
        <v>94</v>
      </c>
      <c r="BA4">
        <v>3</v>
      </c>
      <c r="BB4" t="s">
        <v>94</v>
      </c>
      <c r="BC4">
        <v>3</v>
      </c>
      <c r="BD4">
        <v>4</v>
      </c>
      <c r="BE4">
        <v>2</v>
      </c>
      <c r="BF4">
        <v>4</v>
      </c>
      <c r="BG4" t="s">
        <v>96</v>
      </c>
      <c r="BH4">
        <v>4</v>
      </c>
      <c r="BI4">
        <v>4</v>
      </c>
      <c r="BJ4">
        <v>3</v>
      </c>
      <c r="BK4">
        <v>4</v>
      </c>
      <c r="BL4" t="s">
        <v>96</v>
      </c>
      <c r="BM4" t="s">
        <v>96</v>
      </c>
      <c r="BO4">
        <v>361.66</v>
      </c>
      <c r="BP4">
        <v>104.84</v>
      </c>
      <c r="CC4">
        <v>256.82</v>
      </c>
    </row>
    <row r="5" spans="1:85" x14ac:dyDescent="0.35">
      <c r="A5">
        <v>267</v>
      </c>
      <c r="B5" t="s">
        <v>113</v>
      </c>
      <c r="C5">
        <v>2</v>
      </c>
      <c r="D5" t="s">
        <v>86</v>
      </c>
      <c r="E5">
        <v>1807253933</v>
      </c>
      <c r="F5" t="s">
        <v>114</v>
      </c>
      <c r="G5" t="s">
        <v>113</v>
      </c>
      <c r="H5" t="s">
        <v>88</v>
      </c>
      <c r="I5" t="s">
        <v>89</v>
      </c>
      <c r="J5" t="s">
        <v>88</v>
      </c>
      <c r="K5" t="s">
        <v>89</v>
      </c>
      <c r="L5" t="s">
        <v>88</v>
      </c>
      <c r="M5" t="s">
        <v>88</v>
      </c>
      <c r="O5" t="s">
        <v>88</v>
      </c>
      <c r="Q5" t="s">
        <v>105</v>
      </c>
      <c r="R5" t="s">
        <v>91</v>
      </c>
      <c r="S5" t="s">
        <v>88</v>
      </c>
      <c r="T5" t="s">
        <v>88</v>
      </c>
      <c r="U5" t="s">
        <v>89</v>
      </c>
      <c r="V5" t="s">
        <v>88</v>
      </c>
      <c r="W5" t="s">
        <v>88</v>
      </c>
      <c r="X5" t="s">
        <v>89</v>
      </c>
      <c r="Y5" t="s">
        <v>89</v>
      </c>
      <c r="AD5">
        <v>4</v>
      </c>
      <c r="AE5" t="s">
        <v>92</v>
      </c>
      <c r="AF5" t="s">
        <v>92</v>
      </c>
      <c r="AH5" t="s">
        <v>108</v>
      </c>
      <c r="AI5" t="s">
        <v>115</v>
      </c>
      <c r="AJ5">
        <v>2</v>
      </c>
      <c r="AK5">
        <v>3</v>
      </c>
      <c r="AL5" t="s">
        <v>109</v>
      </c>
      <c r="AM5" t="s">
        <v>94</v>
      </c>
      <c r="AN5" t="s">
        <v>94</v>
      </c>
      <c r="AO5">
        <v>3</v>
      </c>
      <c r="AP5">
        <v>3</v>
      </c>
      <c r="AQ5" t="s">
        <v>95</v>
      </c>
      <c r="AR5" t="s">
        <v>95</v>
      </c>
      <c r="AS5">
        <v>3</v>
      </c>
      <c r="AT5">
        <v>3</v>
      </c>
      <c r="AU5" t="s">
        <v>94</v>
      </c>
      <c r="AV5" t="s">
        <v>94</v>
      </c>
      <c r="AW5">
        <v>4</v>
      </c>
      <c r="AX5" t="s">
        <v>94</v>
      </c>
      <c r="AY5" t="s">
        <v>94</v>
      </c>
      <c r="AZ5">
        <v>4</v>
      </c>
      <c r="BA5">
        <v>4</v>
      </c>
      <c r="BB5">
        <v>4</v>
      </c>
      <c r="BC5">
        <v>4</v>
      </c>
      <c r="BD5" t="s">
        <v>94</v>
      </c>
      <c r="BE5">
        <v>3</v>
      </c>
      <c r="BF5" t="s">
        <v>94</v>
      </c>
      <c r="BG5" t="s">
        <v>96</v>
      </c>
      <c r="BH5" t="s">
        <v>96</v>
      </c>
      <c r="BI5" t="s">
        <v>96</v>
      </c>
      <c r="BJ5" t="s">
        <v>96</v>
      </c>
      <c r="BK5" t="s">
        <v>96</v>
      </c>
      <c r="BL5" t="s">
        <v>96</v>
      </c>
      <c r="BM5" t="s">
        <v>96</v>
      </c>
      <c r="BN5" t="s">
        <v>116</v>
      </c>
      <c r="BO5">
        <v>512.01</v>
      </c>
      <c r="BP5">
        <v>182.68</v>
      </c>
      <c r="CC5">
        <v>329.33</v>
      </c>
    </row>
    <row r="6" spans="1:85" x14ac:dyDescent="0.35">
      <c r="A6">
        <v>269</v>
      </c>
      <c r="B6" t="s">
        <v>118</v>
      </c>
      <c r="C6">
        <v>2</v>
      </c>
      <c r="D6" t="s">
        <v>86</v>
      </c>
      <c r="E6">
        <v>1691718777</v>
      </c>
      <c r="F6" t="s">
        <v>119</v>
      </c>
      <c r="G6" t="s">
        <v>118</v>
      </c>
      <c r="H6" t="s">
        <v>88</v>
      </c>
      <c r="I6" t="s">
        <v>89</v>
      </c>
      <c r="J6" t="s">
        <v>89</v>
      </c>
      <c r="K6" t="s">
        <v>89</v>
      </c>
      <c r="L6" t="s">
        <v>89</v>
      </c>
      <c r="M6" t="s">
        <v>88</v>
      </c>
      <c r="O6" t="s">
        <v>89</v>
      </c>
      <c r="P6" t="s">
        <v>120</v>
      </c>
      <c r="Q6" t="s">
        <v>90</v>
      </c>
      <c r="S6" t="s">
        <v>88</v>
      </c>
      <c r="T6" t="s">
        <v>88</v>
      </c>
      <c r="U6" t="s">
        <v>89</v>
      </c>
      <c r="V6" t="s">
        <v>88</v>
      </c>
      <c r="W6" t="s">
        <v>89</v>
      </c>
      <c r="X6" t="s">
        <v>89</v>
      </c>
      <c r="Y6" t="s">
        <v>89</v>
      </c>
      <c r="AG6" t="s">
        <v>121</v>
      </c>
      <c r="AH6" t="s">
        <v>108</v>
      </c>
      <c r="AI6">
        <v>3</v>
      </c>
      <c r="AJ6">
        <v>4</v>
      </c>
      <c r="AK6">
        <v>3</v>
      </c>
      <c r="AL6" t="s">
        <v>109</v>
      </c>
      <c r="AM6">
        <v>4</v>
      </c>
      <c r="AN6">
        <v>3</v>
      </c>
      <c r="AO6">
        <v>3</v>
      </c>
      <c r="AP6">
        <v>2</v>
      </c>
      <c r="AQ6">
        <v>2</v>
      </c>
      <c r="AR6" t="s">
        <v>95</v>
      </c>
      <c r="AS6">
        <v>4</v>
      </c>
      <c r="AT6">
        <v>4</v>
      </c>
      <c r="AU6">
        <v>4</v>
      </c>
      <c r="AV6" t="s">
        <v>94</v>
      </c>
      <c r="AW6">
        <v>4</v>
      </c>
      <c r="AX6" t="s">
        <v>94</v>
      </c>
      <c r="AY6" t="s">
        <v>94</v>
      </c>
      <c r="AZ6" t="s">
        <v>94</v>
      </c>
      <c r="BA6" t="s">
        <v>94</v>
      </c>
      <c r="BB6" t="s">
        <v>94</v>
      </c>
      <c r="BC6">
        <v>4</v>
      </c>
      <c r="BD6" t="s">
        <v>94</v>
      </c>
      <c r="BE6">
        <v>2</v>
      </c>
      <c r="BF6">
        <v>3</v>
      </c>
      <c r="BG6" t="s">
        <v>96</v>
      </c>
      <c r="BH6" t="s">
        <v>96</v>
      </c>
      <c r="BI6">
        <v>4</v>
      </c>
      <c r="BJ6" t="s">
        <v>96</v>
      </c>
      <c r="BK6" t="s">
        <v>96</v>
      </c>
      <c r="BL6">
        <v>4</v>
      </c>
      <c r="BM6" t="s">
        <v>96</v>
      </c>
      <c r="BN6" t="s">
        <v>122</v>
      </c>
      <c r="BO6">
        <v>512.07000000000005</v>
      </c>
      <c r="BP6">
        <v>192.11</v>
      </c>
      <c r="CC6">
        <v>319.95999999999998</v>
      </c>
    </row>
    <row r="7" spans="1:85" x14ac:dyDescent="0.35">
      <c r="A7">
        <v>271</v>
      </c>
      <c r="B7" t="s">
        <v>124</v>
      </c>
      <c r="C7">
        <v>2</v>
      </c>
      <c r="D7" t="s">
        <v>86</v>
      </c>
      <c r="E7">
        <v>2108927546</v>
      </c>
      <c r="F7" t="s">
        <v>125</v>
      </c>
      <c r="G7" t="s">
        <v>124</v>
      </c>
      <c r="H7" t="s">
        <v>89</v>
      </c>
      <c r="I7" t="s">
        <v>89</v>
      </c>
      <c r="J7" t="s">
        <v>89</v>
      </c>
      <c r="K7" t="s">
        <v>89</v>
      </c>
      <c r="L7" t="s">
        <v>89</v>
      </c>
      <c r="M7" t="s">
        <v>88</v>
      </c>
      <c r="O7" t="s">
        <v>89</v>
      </c>
      <c r="P7" t="s">
        <v>126</v>
      </c>
      <c r="Q7" t="s">
        <v>105</v>
      </c>
      <c r="S7" t="s">
        <v>88</v>
      </c>
      <c r="T7" t="s">
        <v>88</v>
      </c>
      <c r="U7" t="s">
        <v>89</v>
      </c>
      <c r="V7" t="s">
        <v>89</v>
      </c>
      <c r="W7" t="s">
        <v>88</v>
      </c>
      <c r="X7" t="s">
        <v>88</v>
      </c>
      <c r="Y7" t="s">
        <v>88</v>
      </c>
      <c r="AG7" t="s">
        <v>127</v>
      </c>
      <c r="AH7" t="s">
        <v>108</v>
      </c>
      <c r="AI7" t="s">
        <v>115</v>
      </c>
      <c r="AJ7" t="s">
        <v>115</v>
      </c>
      <c r="AK7">
        <v>4</v>
      </c>
      <c r="AL7" t="s">
        <v>109</v>
      </c>
      <c r="AM7">
        <v>4</v>
      </c>
      <c r="AN7">
        <v>3</v>
      </c>
      <c r="AO7">
        <v>4</v>
      </c>
      <c r="AP7">
        <v>4</v>
      </c>
      <c r="AQ7">
        <v>4</v>
      </c>
      <c r="AR7">
        <v>3</v>
      </c>
      <c r="AS7" t="s">
        <v>94</v>
      </c>
      <c r="AT7" t="s">
        <v>94</v>
      </c>
      <c r="AU7">
        <v>4</v>
      </c>
      <c r="AV7">
        <v>3</v>
      </c>
      <c r="AW7">
        <v>4</v>
      </c>
      <c r="AX7">
        <v>4</v>
      </c>
      <c r="AY7" t="s">
        <v>94</v>
      </c>
      <c r="AZ7" t="s">
        <v>94</v>
      </c>
      <c r="BA7">
        <v>4</v>
      </c>
      <c r="BB7">
        <v>4</v>
      </c>
      <c r="BC7">
        <v>3</v>
      </c>
      <c r="BD7">
        <v>4</v>
      </c>
      <c r="BE7" t="s">
        <v>94</v>
      </c>
      <c r="BF7" t="s">
        <v>94</v>
      </c>
      <c r="BG7" t="s">
        <v>96</v>
      </c>
      <c r="BH7" t="s">
        <v>96</v>
      </c>
      <c r="BI7" t="s">
        <v>96</v>
      </c>
      <c r="BJ7">
        <v>4</v>
      </c>
      <c r="BK7">
        <v>4</v>
      </c>
      <c r="BL7" t="s">
        <v>96</v>
      </c>
      <c r="BM7" t="s">
        <v>96</v>
      </c>
      <c r="BN7" t="s">
        <v>128</v>
      </c>
      <c r="BO7">
        <v>742.82</v>
      </c>
      <c r="BP7">
        <v>492.31</v>
      </c>
      <c r="CC7">
        <v>250.51</v>
      </c>
    </row>
    <row r="8" spans="1:85" x14ac:dyDescent="0.35">
      <c r="A8">
        <v>272</v>
      </c>
      <c r="B8" t="s">
        <v>129</v>
      </c>
      <c r="C8">
        <v>2</v>
      </c>
      <c r="D8" t="s">
        <v>86</v>
      </c>
      <c r="E8">
        <v>2054338685</v>
      </c>
      <c r="F8" t="s">
        <v>130</v>
      </c>
      <c r="G8" t="s">
        <v>129</v>
      </c>
      <c r="H8" t="s">
        <v>88</v>
      </c>
      <c r="I8" t="s">
        <v>88</v>
      </c>
      <c r="J8" t="s">
        <v>88</v>
      </c>
      <c r="K8" t="s">
        <v>88</v>
      </c>
      <c r="L8" t="s">
        <v>88</v>
      </c>
      <c r="M8" t="s">
        <v>88</v>
      </c>
      <c r="O8" t="s">
        <v>88</v>
      </c>
      <c r="Q8" t="s">
        <v>105</v>
      </c>
      <c r="R8" t="s">
        <v>91</v>
      </c>
      <c r="S8" t="s">
        <v>88</v>
      </c>
      <c r="T8" t="s">
        <v>88</v>
      </c>
      <c r="U8" t="s">
        <v>88</v>
      </c>
      <c r="V8" t="s">
        <v>88</v>
      </c>
      <c r="W8" t="s">
        <v>88</v>
      </c>
      <c r="X8" t="s">
        <v>89</v>
      </c>
      <c r="Y8" t="s">
        <v>89</v>
      </c>
      <c r="AD8" t="s">
        <v>131</v>
      </c>
      <c r="AE8" t="s">
        <v>131</v>
      </c>
      <c r="AF8" t="s">
        <v>92</v>
      </c>
      <c r="AH8" t="s">
        <v>108</v>
      </c>
      <c r="AI8" t="s">
        <v>115</v>
      </c>
      <c r="AJ8">
        <v>2</v>
      </c>
      <c r="AK8">
        <v>3</v>
      </c>
      <c r="AL8" t="s">
        <v>109</v>
      </c>
      <c r="AM8" t="s">
        <v>94</v>
      </c>
      <c r="AN8" t="s">
        <v>94</v>
      </c>
      <c r="AO8">
        <v>3</v>
      </c>
      <c r="AP8">
        <v>3</v>
      </c>
      <c r="AQ8">
        <v>3</v>
      </c>
      <c r="AR8">
        <v>2</v>
      </c>
      <c r="AS8">
        <v>3</v>
      </c>
      <c r="AT8">
        <v>3</v>
      </c>
      <c r="AU8" t="s">
        <v>94</v>
      </c>
      <c r="AV8" t="s">
        <v>94</v>
      </c>
      <c r="AW8" t="s">
        <v>94</v>
      </c>
      <c r="AX8" t="s">
        <v>94</v>
      </c>
      <c r="AY8">
        <v>4</v>
      </c>
      <c r="AZ8">
        <v>3</v>
      </c>
      <c r="BA8">
        <v>4</v>
      </c>
      <c r="BB8" t="s">
        <v>94</v>
      </c>
      <c r="BC8">
        <v>3</v>
      </c>
      <c r="BD8">
        <v>4</v>
      </c>
      <c r="BE8">
        <v>4</v>
      </c>
      <c r="BF8" t="s">
        <v>94</v>
      </c>
      <c r="BG8">
        <v>4</v>
      </c>
      <c r="BH8" t="s">
        <v>96</v>
      </c>
      <c r="BI8" t="s">
        <v>96</v>
      </c>
      <c r="BJ8" t="s">
        <v>96</v>
      </c>
      <c r="BK8" t="s">
        <v>96</v>
      </c>
      <c r="BL8" t="s">
        <v>96</v>
      </c>
      <c r="BM8" t="s">
        <v>96</v>
      </c>
      <c r="BO8">
        <v>847.81</v>
      </c>
      <c r="BP8">
        <v>297.45</v>
      </c>
      <c r="CC8">
        <v>550.36</v>
      </c>
    </row>
    <row r="9" spans="1:85" x14ac:dyDescent="0.35">
      <c r="A9">
        <v>273</v>
      </c>
      <c r="B9" t="s">
        <v>132</v>
      </c>
      <c r="C9">
        <v>2</v>
      </c>
      <c r="D9" t="s">
        <v>86</v>
      </c>
      <c r="E9">
        <v>1085020115</v>
      </c>
      <c r="F9" t="s">
        <v>133</v>
      </c>
      <c r="G9" t="s">
        <v>132</v>
      </c>
      <c r="H9" t="s">
        <v>88</v>
      </c>
      <c r="I9" t="s">
        <v>88</v>
      </c>
      <c r="J9" t="s">
        <v>88</v>
      </c>
      <c r="K9" t="s">
        <v>89</v>
      </c>
      <c r="L9" t="s">
        <v>88</v>
      </c>
      <c r="M9" t="s">
        <v>88</v>
      </c>
      <c r="O9" t="s">
        <v>88</v>
      </c>
      <c r="Q9" t="s">
        <v>105</v>
      </c>
      <c r="R9" t="s">
        <v>91</v>
      </c>
      <c r="S9" t="s">
        <v>88</v>
      </c>
      <c r="T9" t="s">
        <v>88</v>
      </c>
      <c r="U9" t="s">
        <v>88</v>
      </c>
      <c r="V9" t="s">
        <v>89</v>
      </c>
      <c r="W9" t="s">
        <v>88</v>
      </c>
      <c r="X9" t="s">
        <v>89</v>
      </c>
      <c r="Y9" t="s">
        <v>89</v>
      </c>
      <c r="AD9">
        <v>4</v>
      </c>
      <c r="AE9">
        <v>3</v>
      </c>
      <c r="AF9" t="s">
        <v>92</v>
      </c>
      <c r="AG9" t="s">
        <v>134</v>
      </c>
      <c r="AH9" t="s">
        <v>108</v>
      </c>
      <c r="AI9">
        <v>2</v>
      </c>
      <c r="AJ9">
        <v>2</v>
      </c>
      <c r="AK9">
        <v>3</v>
      </c>
      <c r="AL9" t="s">
        <v>109</v>
      </c>
      <c r="AM9" t="s">
        <v>94</v>
      </c>
      <c r="AN9" t="s">
        <v>94</v>
      </c>
      <c r="AO9">
        <v>3</v>
      </c>
      <c r="AP9">
        <v>3</v>
      </c>
      <c r="AQ9">
        <v>2</v>
      </c>
      <c r="AR9">
        <v>2</v>
      </c>
      <c r="AS9">
        <v>2</v>
      </c>
      <c r="AT9">
        <v>2</v>
      </c>
      <c r="AU9" t="s">
        <v>94</v>
      </c>
      <c r="AV9" t="s">
        <v>94</v>
      </c>
      <c r="AW9">
        <v>3</v>
      </c>
      <c r="AX9">
        <v>3</v>
      </c>
      <c r="AY9">
        <v>3</v>
      </c>
      <c r="AZ9">
        <v>2</v>
      </c>
      <c r="BA9">
        <v>3</v>
      </c>
      <c r="BB9">
        <v>2</v>
      </c>
      <c r="BC9">
        <v>4</v>
      </c>
      <c r="BD9" t="s">
        <v>94</v>
      </c>
      <c r="BE9">
        <v>3</v>
      </c>
      <c r="BF9">
        <v>3</v>
      </c>
      <c r="BG9" t="s">
        <v>96</v>
      </c>
      <c r="BH9" t="s">
        <v>96</v>
      </c>
      <c r="BI9" t="s">
        <v>96</v>
      </c>
      <c r="BJ9" t="s">
        <v>96</v>
      </c>
      <c r="BK9" t="s">
        <v>96</v>
      </c>
      <c r="BL9" t="s">
        <v>96</v>
      </c>
      <c r="BM9" t="s">
        <v>96</v>
      </c>
      <c r="BO9">
        <v>292.92</v>
      </c>
      <c r="BP9">
        <v>134.59</v>
      </c>
      <c r="CC9">
        <v>158.33000000000001</v>
      </c>
    </row>
    <row r="10" spans="1:85" x14ac:dyDescent="0.35">
      <c r="A10">
        <v>275</v>
      </c>
      <c r="B10" t="s">
        <v>137</v>
      </c>
      <c r="C10">
        <v>2</v>
      </c>
      <c r="D10" t="s">
        <v>86</v>
      </c>
      <c r="E10">
        <v>1389996388</v>
      </c>
      <c r="F10" t="s">
        <v>138</v>
      </c>
      <c r="G10" t="s">
        <v>137</v>
      </c>
      <c r="H10" t="s">
        <v>88</v>
      </c>
      <c r="I10" t="s">
        <v>88</v>
      </c>
      <c r="J10" t="s">
        <v>89</v>
      </c>
      <c r="K10" t="s">
        <v>89</v>
      </c>
      <c r="L10" t="s">
        <v>89</v>
      </c>
      <c r="M10" t="s">
        <v>89</v>
      </c>
      <c r="O10" t="s">
        <v>88</v>
      </c>
      <c r="Q10" t="s">
        <v>139</v>
      </c>
      <c r="R10" t="s">
        <v>91</v>
      </c>
      <c r="S10" t="s">
        <v>88</v>
      </c>
      <c r="T10" t="s">
        <v>88</v>
      </c>
      <c r="U10" t="s">
        <v>89</v>
      </c>
      <c r="V10" t="s">
        <v>89</v>
      </c>
      <c r="W10" t="s">
        <v>88</v>
      </c>
      <c r="X10" t="s">
        <v>89</v>
      </c>
      <c r="Y10" t="s">
        <v>89</v>
      </c>
      <c r="AD10">
        <v>3</v>
      </c>
      <c r="AE10" t="s">
        <v>92</v>
      </c>
      <c r="AF10" t="s">
        <v>92</v>
      </c>
      <c r="AG10" t="s">
        <v>140</v>
      </c>
      <c r="AH10" t="s">
        <v>93</v>
      </c>
      <c r="AI10">
        <v>3</v>
      </c>
      <c r="AJ10">
        <v>2</v>
      </c>
      <c r="AK10">
        <v>4</v>
      </c>
      <c r="AL10" t="s">
        <v>109</v>
      </c>
      <c r="AM10">
        <v>3</v>
      </c>
      <c r="AN10">
        <v>3</v>
      </c>
      <c r="AO10">
        <v>3</v>
      </c>
      <c r="AP10">
        <v>3</v>
      </c>
      <c r="AQ10">
        <v>3</v>
      </c>
      <c r="AR10">
        <v>3</v>
      </c>
      <c r="AS10">
        <v>3</v>
      </c>
      <c r="AT10">
        <v>3</v>
      </c>
      <c r="AU10">
        <v>3</v>
      </c>
      <c r="AV10">
        <v>3</v>
      </c>
      <c r="AW10">
        <v>3</v>
      </c>
      <c r="AX10">
        <v>3</v>
      </c>
      <c r="AY10">
        <v>3</v>
      </c>
      <c r="AZ10">
        <v>3</v>
      </c>
      <c r="BA10">
        <v>2</v>
      </c>
      <c r="BB10" t="s">
        <v>95</v>
      </c>
      <c r="BC10">
        <v>3</v>
      </c>
      <c r="BD10">
        <v>3</v>
      </c>
      <c r="BE10">
        <v>3</v>
      </c>
      <c r="BF10">
        <v>3</v>
      </c>
      <c r="BG10">
        <v>4</v>
      </c>
      <c r="BH10">
        <v>4</v>
      </c>
      <c r="BI10">
        <v>4</v>
      </c>
      <c r="BJ10">
        <v>4</v>
      </c>
      <c r="BK10">
        <v>4</v>
      </c>
      <c r="BL10">
        <v>4</v>
      </c>
      <c r="BM10">
        <v>4</v>
      </c>
      <c r="BN10" t="s">
        <v>141</v>
      </c>
      <c r="BO10">
        <v>366.66</v>
      </c>
      <c r="BP10">
        <v>188.02</v>
      </c>
      <c r="CC10">
        <v>178.64</v>
      </c>
    </row>
    <row r="11" spans="1:85" x14ac:dyDescent="0.35">
      <c r="A11">
        <v>280</v>
      </c>
      <c r="B11" t="s">
        <v>150</v>
      </c>
      <c r="C11">
        <v>2</v>
      </c>
      <c r="D11" t="s">
        <v>86</v>
      </c>
      <c r="E11">
        <v>1434133676</v>
      </c>
      <c r="F11" t="s">
        <v>151</v>
      </c>
      <c r="G11" t="s">
        <v>150</v>
      </c>
      <c r="H11" t="s">
        <v>88</v>
      </c>
      <c r="I11" t="s">
        <v>89</v>
      </c>
      <c r="J11" t="s">
        <v>89</v>
      </c>
      <c r="K11" t="s">
        <v>89</v>
      </c>
      <c r="L11" t="s">
        <v>89</v>
      </c>
      <c r="M11" t="s">
        <v>89</v>
      </c>
      <c r="O11" t="s">
        <v>89</v>
      </c>
      <c r="P11" t="s">
        <v>152</v>
      </c>
      <c r="Q11" t="s">
        <v>90</v>
      </c>
      <c r="S11" t="s">
        <v>89</v>
      </c>
      <c r="T11" t="s">
        <v>88</v>
      </c>
      <c r="U11" t="s">
        <v>88</v>
      </c>
      <c r="V11" t="s">
        <v>88</v>
      </c>
      <c r="W11" t="s">
        <v>88</v>
      </c>
      <c r="X11" t="s">
        <v>88</v>
      </c>
      <c r="Y11" t="s">
        <v>88</v>
      </c>
      <c r="AG11" t="s">
        <v>153</v>
      </c>
      <c r="AH11" t="s">
        <v>93</v>
      </c>
      <c r="AI11" t="s">
        <v>115</v>
      </c>
      <c r="AJ11">
        <v>3</v>
      </c>
      <c r="AK11">
        <v>2</v>
      </c>
      <c r="AL11" t="s">
        <v>109</v>
      </c>
      <c r="AM11">
        <v>2</v>
      </c>
      <c r="AN11">
        <v>2</v>
      </c>
      <c r="AO11">
        <v>4</v>
      </c>
      <c r="AP11">
        <v>4</v>
      </c>
      <c r="AQ11">
        <v>3</v>
      </c>
      <c r="AR11">
        <v>4</v>
      </c>
      <c r="AS11">
        <v>3</v>
      </c>
      <c r="AT11">
        <v>4</v>
      </c>
      <c r="AU11">
        <v>4</v>
      </c>
      <c r="AV11">
        <v>2</v>
      </c>
      <c r="AW11">
        <v>2</v>
      </c>
      <c r="AX11">
        <v>2</v>
      </c>
      <c r="AY11" t="s">
        <v>94</v>
      </c>
      <c r="AZ11" t="s">
        <v>94</v>
      </c>
      <c r="BA11">
        <v>3</v>
      </c>
      <c r="BB11">
        <v>4</v>
      </c>
      <c r="BC11">
        <v>4</v>
      </c>
      <c r="BD11">
        <v>4</v>
      </c>
      <c r="BE11">
        <v>4</v>
      </c>
      <c r="BF11" t="s">
        <v>94</v>
      </c>
      <c r="BG11" t="s">
        <v>96</v>
      </c>
      <c r="BH11">
        <v>4</v>
      </c>
      <c r="BI11">
        <v>3</v>
      </c>
      <c r="BJ11">
        <v>3</v>
      </c>
      <c r="BK11">
        <v>3</v>
      </c>
      <c r="BL11">
        <v>4</v>
      </c>
      <c r="BM11">
        <v>4</v>
      </c>
      <c r="BN11" t="s">
        <v>154</v>
      </c>
      <c r="BO11">
        <v>473.39</v>
      </c>
      <c r="BP11">
        <v>174.57</v>
      </c>
      <c r="CC11">
        <v>298.82</v>
      </c>
    </row>
    <row r="12" spans="1:85" x14ac:dyDescent="0.35">
      <c r="A12">
        <v>281</v>
      </c>
      <c r="B12" t="s">
        <v>155</v>
      </c>
      <c r="C12">
        <v>2</v>
      </c>
      <c r="D12" t="s">
        <v>86</v>
      </c>
      <c r="E12">
        <v>354715751</v>
      </c>
      <c r="F12" t="s">
        <v>156</v>
      </c>
      <c r="G12" t="s">
        <v>155</v>
      </c>
      <c r="H12" t="s">
        <v>88</v>
      </c>
      <c r="I12" t="s">
        <v>89</v>
      </c>
      <c r="J12" t="s">
        <v>89</v>
      </c>
      <c r="K12" t="s">
        <v>89</v>
      </c>
      <c r="L12" t="s">
        <v>88</v>
      </c>
      <c r="M12" t="s">
        <v>88</v>
      </c>
      <c r="O12" t="s">
        <v>88</v>
      </c>
      <c r="Q12" t="s">
        <v>90</v>
      </c>
      <c r="R12" t="s">
        <v>91</v>
      </c>
      <c r="S12" t="s">
        <v>88</v>
      </c>
      <c r="T12" t="s">
        <v>88</v>
      </c>
      <c r="U12" t="s">
        <v>89</v>
      </c>
      <c r="V12" t="s">
        <v>89</v>
      </c>
      <c r="W12" t="s">
        <v>88</v>
      </c>
      <c r="X12" t="s">
        <v>88</v>
      </c>
      <c r="Y12" t="s">
        <v>88</v>
      </c>
      <c r="AD12" t="s">
        <v>131</v>
      </c>
      <c r="AE12" t="s">
        <v>92</v>
      </c>
      <c r="AF12" t="s">
        <v>131</v>
      </c>
      <c r="AH12" t="s">
        <v>149</v>
      </c>
      <c r="AI12">
        <v>3</v>
      </c>
      <c r="AJ12">
        <v>4</v>
      </c>
      <c r="AK12">
        <v>4</v>
      </c>
      <c r="AL12" t="s">
        <v>109</v>
      </c>
      <c r="AM12">
        <v>3</v>
      </c>
      <c r="AN12">
        <v>3</v>
      </c>
      <c r="AO12">
        <v>2</v>
      </c>
      <c r="AP12">
        <v>2</v>
      </c>
      <c r="AQ12">
        <v>2</v>
      </c>
      <c r="AR12">
        <v>2</v>
      </c>
      <c r="AS12" t="s">
        <v>95</v>
      </c>
      <c r="AT12" t="s">
        <v>95</v>
      </c>
      <c r="AU12">
        <v>4</v>
      </c>
      <c r="AV12">
        <v>4</v>
      </c>
      <c r="AW12">
        <v>2</v>
      </c>
      <c r="AX12">
        <v>2</v>
      </c>
      <c r="AY12">
        <v>3</v>
      </c>
      <c r="AZ12">
        <v>3</v>
      </c>
      <c r="BA12">
        <v>2</v>
      </c>
      <c r="BB12">
        <v>3</v>
      </c>
      <c r="BC12">
        <v>3</v>
      </c>
      <c r="BD12">
        <v>3</v>
      </c>
      <c r="BE12">
        <v>2</v>
      </c>
      <c r="BF12">
        <v>3</v>
      </c>
      <c r="BG12">
        <v>4</v>
      </c>
      <c r="BH12">
        <v>4</v>
      </c>
      <c r="BI12">
        <v>4</v>
      </c>
      <c r="BJ12">
        <v>4</v>
      </c>
      <c r="BK12">
        <v>3</v>
      </c>
      <c r="BL12">
        <v>4</v>
      </c>
      <c r="BM12">
        <v>3</v>
      </c>
      <c r="BO12">
        <v>243.93</v>
      </c>
      <c r="BP12">
        <v>104.48</v>
      </c>
      <c r="CC12">
        <v>139.44999999999999</v>
      </c>
    </row>
    <row r="13" spans="1:85" x14ac:dyDescent="0.35">
      <c r="A13">
        <v>282</v>
      </c>
      <c r="B13" t="s">
        <v>157</v>
      </c>
      <c r="C13">
        <v>2</v>
      </c>
      <c r="D13" t="s">
        <v>86</v>
      </c>
      <c r="E13">
        <v>258123832</v>
      </c>
      <c r="F13" t="s">
        <v>158</v>
      </c>
      <c r="G13" t="s">
        <v>157</v>
      </c>
      <c r="H13" t="s">
        <v>89</v>
      </c>
      <c r="I13" t="s">
        <v>89</v>
      </c>
      <c r="J13" t="s">
        <v>89</v>
      </c>
      <c r="K13" t="s">
        <v>89</v>
      </c>
      <c r="L13" t="s">
        <v>89</v>
      </c>
      <c r="M13" t="s">
        <v>88</v>
      </c>
      <c r="O13" t="s">
        <v>88</v>
      </c>
      <c r="Q13" t="s">
        <v>148</v>
      </c>
      <c r="R13" t="s">
        <v>89</v>
      </c>
      <c r="S13" t="s">
        <v>89</v>
      </c>
      <c r="T13" t="s">
        <v>88</v>
      </c>
      <c r="U13" t="s">
        <v>89</v>
      </c>
      <c r="V13" t="s">
        <v>89</v>
      </c>
      <c r="W13" t="s">
        <v>88</v>
      </c>
      <c r="X13" t="s">
        <v>88</v>
      </c>
      <c r="Y13" t="s">
        <v>88</v>
      </c>
      <c r="AD13" t="s">
        <v>92</v>
      </c>
      <c r="AE13" t="s">
        <v>92</v>
      </c>
      <c r="AF13" t="s">
        <v>92</v>
      </c>
      <c r="AG13" t="s">
        <v>159</v>
      </c>
      <c r="AH13" t="s">
        <v>149</v>
      </c>
      <c r="AI13">
        <v>3</v>
      </c>
      <c r="AJ13">
        <v>2</v>
      </c>
      <c r="AK13" t="s">
        <v>115</v>
      </c>
      <c r="AL13" t="s">
        <v>109</v>
      </c>
      <c r="AM13">
        <v>4</v>
      </c>
      <c r="AN13">
        <v>4</v>
      </c>
      <c r="AO13">
        <v>2</v>
      </c>
      <c r="AP13" t="s">
        <v>95</v>
      </c>
      <c r="AQ13" t="s">
        <v>95</v>
      </c>
      <c r="AR13" t="s">
        <v>95</v>
      </c>
      <c r="AS13" t="s">
        <v>95</v>
      </c>
      <c r="AT13" t="s">
        <v>95</v>
      </c>
      <c r="AU13">
        <v>3</v>
      </c>
      <c r="AV13" t="s">
        <v>94</v>
      </c>
      <c r="AW13" t="s">
        <v>94</v>
      </c>
      <c r="AX13" t="s">
        <v>94</v>
      </c>
      <c r="AY13" t="s">
        <v>95</v>
      </c>
      <c r="AZ13" t="s">
        <v>95</v>
      </c>
      <c r="BA13" t="s">
        <v>94</v>
      </c>
      <c r="BB13" t="s">
        <v>94</v>
      </c>
      <c r="BC13" t="s">
        <v>94</v>
      </c>
      <c r="BD13">
        <v>3</v>
      </c>
      <c r="BE13">
        <v>3</v>
      </c>
      <c r="BF13">
        <v>3</v>
      </c>
      <c r="BG13">
        <v>3</v>
      </c>
      <c r="BH13" t="s">
        <v>96</v>
      </c>
      <c r="BI13" t="s">
        <v>96</v>
      </c>
      <c r="BJ13" t="s">
        <v>96</v>
      </c>
      <c r="BK13" t="s">
        <v>96</v>
      </c>
      <c r="BL13" t="s">
        <v>96</v>
      </c>
      <c r="BM13" t="s">
        <v>96</v>
      </c>
      <c r="BO13">
        <v>278.45999999999998</v>
      </c>
      <c r="BP13">
        <v>181.87</v>
      </c>
      <c r="CC13">
        <v>96.59</v>
      </c>
    </row>
    <row r="14" spans="1:85" x14ac:dyDescent="0.35">
      <c r="A14">
        <v>283</v>
      </c>
      <c r="B14" t="s">
        <v>160</v>
      </c>
      <c r="C14">
        <v>2</v>
      </c>
      <c r="D14" t="s">
        <v>86</v>
      </c>
      <c r="E14">
        <v>1532451537</v>
      </c>
      <c r="F14" t="s">
        <v>161</v>
      </c>
      <c r="G14" t="s">
        <v>162</v>
      </c>
      <c r="H14" t="s">
        <v>89</v>
      </c>
      <c r="I14" t="s">
        <v>89</v>
      </c>
      <c r="J14" t="s">
        <v>89</v>
      </c>
      <c r="K14" t="s">
        <v>89</v>
      </c>
      <c r="L14" t="s">
        <v>89</v>
      </c>
      <c r="M14" t="s">
        <v>88</v>
      </c>
      <c r="O14" t="s">
        <v>89</v>
      </c>
      <c r="P14" t="s">
        <v>163</v>
      </c>
      <c r="Q14" t="s">
        <v>90</v>
      </c>
      <c r="S14" t="s">
        <v>89</v>
      </c>
      <c r="T14" t="s">
        <v>88</v>
      </c>
      <c r="U14" t="s">
        <v>89</v>
      </c>
      <c r="V14" t="s">
        <v>89</v>
      </c>
      <c r="W14" t="s">
        <v>88</v>
      </c>
      <c r="X14" t="s">
        <v>89</v>
      </c>
      <c r="Y14" t="s">
        <v>89</v>
      </c>
      <c r="AH14" t="s">
        <v>149</v>
      </c>
      <c r="AI14">
        <v>2</v>
      </c>
      <c r="AJ14">
        <v>4</v>
      </c>
      <c r="AK14">
        <v>3</v>
      </c>
      <c r="AL14" t="s">
        <v>109</v>
      </c>
      <c r="AM14">
        <v>4</v>
      </c>
      <c r="AN14">
        <v>3</v>
      </c>
      <c r="AO14">
        <v>4</v>
      </c>
      <c r="AP14">
        <v>3</v>
      </c>
      <c r="AQ14">
        <v>3</v>
      </c>
      <c r="AR14">
        <v>2</v>
      </c>
      <c r="AS14">
        <v>2</v>
      </c>
      <c r="AT14">
        <v>2</v>
      </c>
      <c r="AU14" t="s">
        <v>94</v>
      </c>
      <c r="AV14" t="s">
        <v>94</v>
      </c>
      <c r="AW14">
        <v>4</v>
      </c>
      <c r="AX14" t="s">
        <v>94</v>
      </c>
      <c r="AY14" t="s">
        <v>94</v>
      </c>
      <c r="AZ14">
        <v>3</v>
      </c>
      <c r="BA14">
        <v>4</v>
      </c>
      <c r="BB14">
        <v>3</v>
      </c>
      <c r="BC14" t="s">
        <v>95</v>
      </c>
      <c r="BD14" t="s">
        <v>95</v>
      </c>
      <c r="BE14">
        <v>3</v>
      </c>
      <c r="BF14">
        <v>3</v>
      </c>
      <c r="BG14">
        <v>3</v>
      </c>
      <c r="BH14">
        <v>3</v>
      </c>
      <c r="BI14">
        <v>4</v>
      </c>
      <c r="BJ14">
        <v>4</v>
      </c>
      <c r="BK14">
        <v>4</v>
      </c>
      <c r="BL14" t="s">
        <v>96</v>
      </c>
      <c r="BM14">
        <v>4</v>
      </c>
      <c r="BO14">
        <v>194.55</v>
      </c>
      <c r="BP14">
        <v>94.56</v>
      </c>
      <c r="CC14">
        <v>99.99</v>
      </c>
    </row>
    <row r="15" spans="1:85" x14ac:dyDescent="0.35">
      <c r="A15">
        <v>284</v>
      </c>
      <c r="B15" t="s">
        <v>164</v>
      </c>
      <c r="C15">
        <v>2</v>
      </c>
      <c r="D15" t="s">
        <v>86</v>
      </c>
      <c r="E15">
        <v>923910115</v>
      </c>
      <c r="F15" t="s">
        <v>165</v>
      </c>
      <c r="G15" t="s">
        <v>164</v>
      </c>
      <c r="H15" t="s">
        <v>89</v>
      </c>
      <c r="I15" t="s">
        <v>89</v>
      </c>
      <c r="J15" t="s">
        <v>88</v>
      </c>
      <c r="K15" t="s">
        <v>89</v>
      </c>
      <c r="L15" t="s">
        <v>89</v>
      </c>
      <c r="M15" t="s">
        <v>89</v>
      </c>
      <c r="O15" t="s">
        <v>89</v>
      </c>
      <c r="P15" t="s">
        <v>166</v>
      </c>
      <c r="Q15" t="s">
        <v>105</v>
      </c>
      <c r="S15" t="s">
        <v>88</v>
      </c>
      <c r="T15" t="s">
        <v>88</v>
      </c>
      <c r="U15" t="s">
        <v>89</v>
      </c>
      <c r="V15" t="s">
        <v>89</v>
      </c>
      <c r="W15" t="s">
        <v>88</v>
      </c>
      <c r="X15" t="s">
        <v>89</v>
      </c>
      <c r="Y15" t="s">
        <v>89</v>
      </c>
      <c r="AH15" t="s">
        <v>149</v>
      </c>
      <c r="AI15" t="s">
        <v>109</v>
      </c>
      <c r="AJ15">
        <v>4</v>
      </c>
      <c r="AK15" t="s">
        <v>109</v>
      </c>
      <c r="AL15">
        <v>4</v>
      </c>
      <c r="AM15" t="s">
        <v>94</v>
      </c>
      <c r="AN15" t="s">
        <v>94</v>
      </c>
      <c r="AO15">
        <v>3</v>
      </c>
      <c r="AP15">
        <v>3</v>
      </c>
      <c r="AQ15">
        <v>3</v>
      </c>
      <c r="AR15">
        <v>3</v>
      </c>
      <c r="AS15">
        <v>4</v>
      </c>
      <c r="AT15">
        <v>4</v>
      </c>
      <c r="AU15">
        <v>4</v>
      </c>
      <c r="AV15">
        <v>4</v>
      </c>
      <c r="AW15" t="s">
        <v>94</v>
      </c>
      <c r="AX15">
        <v>4</v>
      </c>
      <c r="AY15" t="s">
        <v>94</v>
      </c>
      <c r="AZ15">
        <v>2</v>
      </c>
      <c r="BA15">
        <v>4</v>
      </c>
      <c r="BB15">
        <v>4</v>
      </c>
      <c r="BC15">
        <v>4</v>
      </c>
      <c r="BD15">
        <v>4</v>
      </c>
      <c r="BE15">
        <v>2</v>
      </c>
      <c r="BF15">
        <v>2</v>
      </c>
      <c r="BG15">
        <v>4</v>
      </c>
      <c r="BH15" t="s">
        <v>96</v>
      </c>
      <c r="BI15">
        <v>3</v>
      </c>
      <c r="BJ15" t="s">
        <v>96</v>
      </c>
      <c r="BK15" t="s">
        <v>96</v>
      </c>
      <c r="BL15">
        <v>4</v>
      </c>
      <c r="BM15" t="s">
        <v>96</v>
      </c>
      <c r="BO15">
        <v>415.94</v>
      </c>
      <c r="BP15">
        <v>175.91</v>
      </c>
      <c r="CC15">
        <v>240.03</v>
      </c>
    </row>
    <row r="16" spans="1:85" x14ac:dyDescent="0.35">
      <c r="A16">
        <v>286</v>
      </c>
      <c r="B16" t="s">
        <v>168</v>
      </c>
      <c r="C16">
        <v>2</v>
      </c>
      <c r="D16" t="s">
        <v>86</v>
      </c>
      <c r="E16">
        <v>321473758</v>
      </c>
      <c r="F16" t="s">
        <v>169</v>
      </c>
      <c r="G16" t="s">
        <v>168</v>
      </c>
      <c r="H16" t="s">
        <v>88</v>
      </c>
      <c r="I16" t="s">
        <v>89</v>
      </c>
      <c r="J16" t="s">
        <v>88</v>
      </c>
      <c r="K16" t="s">
        <v>89</v>
      </c>
      <c r="L16" t="s">
        <v>88</v>
      </c>
      <c r="M16" t="s">
        <v>88</v>
      </c>
      <c r="O16" t="s">
        <v>88</v>
      </c>
      <c r="Q16" t="s">
        <v>148</v>
      </c>
      <c r="R16" t="s">
        <v>91</v>
      </c>
      <c r="S16" t="s">
        <v>89</v>
      </c>
      <c r="T16" t="s">
        <v>88</v>
      </c>
      <c r="U16" t="s">
        <v>89</v>
      </c>
      <c r="V16" t="s">
        <v>89</v>
      </c>
      <c r="W16" t="s">
        <v>88</v>
      </c>
      <c r="X16" t="s">
        <v>89</v>
      </c>
      <c r="Y16" t="s">
        <v>89</v>
      </c>
      <c r="Z16" t="s">
        <v>170</v>
      </c>
      <c r="AD16" t="s">
        <v>131</v>
      </c>
      <c r="AE16" t="s">
        <v>92</v>
      </c>
      <c r="AF16" t="s">
        <v>92</v>
      </c>
      <c r="AH16" t="s">
        <v>108</v>
      </c>
      <c r="AI16">
        <v>3</v>
      </c>
      <c r="AJ16">
        <v>3</v>
      </c>
      <c r="AK16" t="s">
        <v>109</v>
      </c>
      <c r="AL16" t="s">
        <v>109</v>
      </c>
      <c r="AM16" t="s">
        <v>94</v>
      </c>
      <c r="AN16" t="s">
        <v>94</v>
      </c>
      <c r="AO16">
        <v>3</v>
      </c>
      <c r="AP16">
        <v>3</v>
      </c>
      <c r="AQ16">
        <v>3</v>
      </c>
      <c r="AR16">
        <v>3</v>
      </c>
      <c r="AS16">
        <v>4</v>
      </c>
      <c r="AT16">
        <v>4</v>
      </c>
      <c r="AU16">
        <v>4</v>
      </c>
      <c r="AV16">
        <v>4</v>
      </c>
      <c r="AW16" t="s">
        <v>94</v>
      </c>
      <c r="AX16" t="s">
        <v>94</v>
      </c>
      <c r="AY16">
        <v>3</v>
      </c>
      <c r="AZ16" t="s">
        <v>94</v>
      </c>
      <c r="BA16">
        <v>3</v>
      </c>
      <c r="BB16" t="s">
        <v>94</v>
      </c>
      <c r="BC16">
        <v>4</v>
      </c>
      <c r="BD16">
        <v>4</v>
      </c>
      <c r="BE16">
        <v>3</v>
      </c>
      <c r="BF16">
        <v>3</v>
      </c>
      <c r="BG16">
        <v>4</v>
      </c>
      <c r="BH16">
        <v>4</v>
      </c>
      <c r="BI16">
        <v>4</v>
      </c>
      <c r="BJ16">
        <v>4</v>
      </c>
      <c r="BK16">
        <v>4</v>
      </c>
      <c r="BL16">
        <v>4</v>
      </c>
      <c r="BM16">
        <v>4</v>
      </c>
      <c r="BO16">
        <v>543.12</v>
      </c>
      <c r="BP16">
        <v>459.16</v>
      </c>
      <c r="CC16">
        <v>83.96</v>
      </c>
    </row>
    <row r="17" spans="1:81" x14ac:dyDescent="0.35">
      <c r="A17">
        <v>287</v>
      </c>
      <c r="B17" t="s">
        <v>171</v>
      </c>
      <c r="C17">
        <v>2</v>
      </c>
      <c r="D17" t="s">
        <v>86</v>
      </c>
      <c r="E17">
        <v>1901059028</v>
      </c>
      <c r="F17" t="s">
        <v>172</v>
      </c>
      <c r="G17" t="s">
        <v>171</v>
      </c>
      <c r="H17" t="s">
        <v>89</v>
      </c>
      <c r="I17" t="s">
        <v>88</v>
      </c>
      <c r="J17" t="s">
        <v>89</v>
      </c>
      <c r="K17" t="s">
        <v>89</v>
      </c>
      <c r="L17" t="s">
        <v>88</v>
      </c>
      <c r="M17" t="s">
        <v>88</v>
      </c>
      <c r="O17" t="s">
        <v>89</v>
      </c>
      <c r="P17" t="s">
        <v>173</v>
      </c>
      <c r="Q17" t="s">
        <v>148</v>
      </c>
      <c r="S17" t="s">
        <v>88</v>
      </c>
      <c r="T17" t="s">
        <v>89</v>
      </c>
      <c r="U17" t="s">
        <v>89</v>
      </c>
      <c r="V17" t="s">
        <v>89</v>
      </c>
      <c r="W17" t="s">
        <v>88</v>
      </c>
      <c r="X17" t="s">
        <v>88</v>
      </c>
      <c r="Y17" t="s">
        <v>88</v>
      </c>
      <c r="AG17" t="s">
        <v>174</v>
      </c>
      <c r="AH17" t="s">
        <v>108</v>
      </c>
      <c r="AI17" t="s">
        <v>115</v>
      </c>
      <c r="AJ17">
        <v>2</v>
      </c>
      <c r="AK17">
        <v>2</v>
      </c>
      <c r="AL17">
        <v>2</v>
      </c>
      <c r="AM17" t="s">
        <v>94</v>
      </c>
      <c r="AN17" t="s">
        <v>95</v>
      </c>
      <c r="AO17">
        <v>3</v>
      </c>
      <c r="AP17" t="s">
        <v>95</v>
      </c>
      <c r="AQ17">
        <v>4</v>
      </c>
      <c r="AR17" t="s">
        <v>94</v>
      </c>
      <c r="AS17">
        <v>3</v>
      </c>
      <c r="AT17">
        <v>4</v>
      </c>
      <c r="AU17">
        <v>4</v>
      </c>
      <c r="AV17">
        <v>4</v>
      </c>
      <c r="AW17" t="s">
        <v>94</v>
      </c>
      <c r="AX17" t="s">
        <v>94</v>
      </c>
      <c r="AY17">
        <v>2</v>
      </c>
      <c r="AZ17">
        <v>4</v>
      </c>
      <c r="BA17">
        <v>2</v>
      </c>
      <c r="BB17">
        <v>4</v>
      </c>
      <c r="BC17">
        <v>3</v>
      </c>
      <c r="BD17">
        <v>4</v>
      </c>
      <c r="BE17">
        <v>2</v>
      </c>
      <c r="BF17">
        <v>4</v>
      </c>
      <c r="BG17" t="s">
        <v>96</v>
      </c>
      <c r="BH17">
        <v>2</v>
      </c>
      <c r="BI17" t="s">
        <v>96</v>
      </c>
      <c r="BJ17" t="s">
        <v>96</v>
      </c>
      <c r="BK17">
        <v>3</v>
      </c>
      <c r="BL17">
        <v>4</v>
      </c>
      <c r="BM17">
        <v>3</v>
      </c>
      <c r="BO17">
        <v>335.45</v>
      </c>
      <c r="BP17">
        <v>172.68</v>
      </c>
      <c r="CC17">
        <v>162.77000000000001</v>
      </c>
    </row>
    <row r="18" spans="1:81" x14ac:dyDescent="0.35">
      <c r="A18">
        <v>288</v>
      </c>
      <c r="B18" t="s">
        <v>175</v>
      </c>
      <c r="C18">
        <v>2</v>
      </c>
      <c r="D18" t="s">
        <v>86</v>
      </c>
      <c r="E18">
        <v>302222348</v>
      </c>
      <c r="F18" t="s">
        <v>176</v>
      </c>
      <c r="G18" t="s">
        <v>175</v>
      </c>
      <c r="H18" t="s">
        <v>88</v>
      </c>
      <c r="I18" t="s">
        <v>89</v>
      </c>
      <c r="J18" t="s">
        <v>89</v>
      </c>
      <c r="K18" t="s">
        <v>89</v>
      </c>
      <c r="L18" t="s">
        <v>88</v>
      </c>
      <c r="M18" t="s">
        <v>88</v>
      </c>
      <c r="O18" t="s">
        <v>88</v>
      </c>
      <c r="Q18" t="s">
        <v>105</v>
      </c>
      <c r="R18" t="s">
        <v>91</v>
      </c>
      <c r="S18" t="s">
        <v>88</v>
      </c>
      <c r="T18" t="s">
        <v>88</v>
      </c>
      <c r="U18" t="s">
        <v>89</v>
      </c>
      <c r="V18" t="s">
        <v>89</v>
      </c>
      <c r="W18" t="s">
        <v>89</v>
      </c>
      <c r="X18" t="s">
        <v>88</v>
      </c>
      <c r="Y18" t="s">
        <v>88</v>
      </c>
      <c r="AD18" t="s">
        <v>131</v>
      </c>
      <c r="AE18" t="s">
        <v>131</v>
      </c>
      <c r="AF18" t="s">
        <v>131</v>
      </c>
      <c r="AH18" t="s">
        <v>149</v>
      </c>
      <c r="AI18">
        <v>2</v>
      </c>
      <c r="AJ18">
        <v>2</v>
      </c>
      <c r="AK18">
        <v>4</v>
      </c>
      <c r="AL18">
        <v>2</v>
      </c>
      <c r="AM18" t="s">
        <v>94</v>
      </c>
      <c r="AN18" t="s">
        <v>94</v>
      </c>
      <c r="AO18">
        <v>4</v>
      </c>
      <c r="AP18" t="s">
        <v>94</v>
      </c>
      <c r="AQ18">
        <v>3</v>
      </c>
      <c r="AR18" t="s">
        <v>94</v>
      </c>
      <c r="AS18">
        <v>3</v>
      </c>
      <c r="AT18">
        <v>4</v>
      </c>
      <c r="AU18">
        <v>4</v>
      </c>
      <c r="AV18" t="s">
        <v>94</v>
      </c>
      <c r="AW18" t="s">
        <v>94</v>
      </c>
      <c r="AX18" t="s">
        <v>94</v>
      </c>
      <c r="AY18">
        <v>3</v>
      </c>
      <c r="AZ18">
        <v>4</v>
      </c>
      <c r="BA18">
        <v>3</v>
      </c>
      <c r="BB18">
        <v>3</v>
      </c>
      <c r="BC18">
        <v>3</v>
      </c>
      <c r="BD18">
        <v>4</v>
      </c>
      <c r="BE18" t="s">
        <v>94</v>
      </c>
      <c r="BF18" t="s">
        <v>94</v>
      </c>
      <c r="BG18" t="s">
        <v>96</v>
      </c>
      <c r="BH18" t="s">
        <v>96</v>
      </c>
      <c r="BI18" t="s">
        <v>96</v>
      </c>
      <c r="BJ18" t="s">
        <v>96</v>
      </c>
      <c r="BK18" t="s">
        <v>96</v>
      </c>
      <c r="BL18" t="s">
        <v>96</v>
      </c>
      <c r="BM18" t="s">
        <v>96</v>
      </c>
      <c r="BO18">
        <v>309.31</v>
      </c>
      <c r="BP18">
        <v>128.44</v>
      </c>
      <c r="CC18">
        <v>180.87</v>
      </c>
    </row>
    <row r="19" spans="1:81" x14ac:dyDescent="0.35">
      <c r="A19">
        <v>289</v>
      </c>
      <c r="B19" t="s">
        <v>177</v>
      </c>
      <c r="C19">
        <v>2</v>
      </c>
      <c r="D19" t="s">
        <v>86</v>
      </c>
      <c r="E19">
        <v>930914718</v>
      </c>
      <c r="F19" t="s">
        <v>178</v>
      </c>
      <c r="G19" t="s">
        <v>179</v>
      </c>
      <c r="H19" t="s">
        <v>88</v>
      </c>
      <c r="I19" t="s">
        <v>89</v>
      </c>
      <c r="J19" t="s">
        <v>89</v>
      </c>
      <c r="K19" t="s">
        <v>89</v>
      </c>
      <c r="L19" t="s">
        <v>89</v>
      </c>
      <c r="M19" t="s">
        <v>89</v>
      </c>
      <c r="O19" t="s">
        <v>89</v>
      </c>
      <c r="P19" t="s">
        <v>180</v>
      </c>
      <c r="Q19" t="s">
        <v>90</v>
      </c>
      <c r="S19" t="s">
        <v>89</v>
      </c>
      <c r="T19" t="s">
        <v>88</v>
      </c>
      <c r="U19" t="s">
        <v>89</v>
      </c>
      <c r="V19" t="s">
        <v>89</v>
      </c>
      <c r="W19" t="s">
        <v>88</v>
      </c>
      <c r="X19" t="s">
        <v>89</v>
      </c>
      <c r="Y19" t="s">
        <v>89</v>
      </c>
      <c r="AG19" t="s">
        <v>181</v>
      </c>
      <c r="AH19" t="s">
        <v>93</v>
      </c>
      <c r="AI19">
        <v>3</v>
      </c>
      <c r="AJ19">
        <v>3</v>
      </c>
      <c r="AK19">
        <v>4</v>
      </c>
      <c r="AL19" t="s">
        <v>109</v>
      </c>
      <c r="AM19">
        <v>3</v>
      </c>
      <c r="AN19">
        <v>4</v>
      </c>
      <c r="AO19">
        <v>3</v>
      </c>
      <c r="AP19">
        <v>3</v>
      </c>
      <c r="AQ19">
        <v>3</v>
      </c>
      <c r="AR19">
        <v>3</v>
      </c>
      <c r="AS19">
        <v>2</v>
      </c>
      <c r="AT19">
        <v>2</v>
      </c>
      <c r="AU19">
        <v>4</v>
      </c>
      <c r="AV19">
        <v>4</v>
      </c>
      <c r="AW19">
        <v>3</v>
      </c>
      <c r="AX19" t="s">
        <v>94</v>
      </c>
      <c r="AY19">
        <v>3</v>
      </c>
      <c r="AZ19">
        <v>3</v>
      </c>
      <c r="BA19">
        <v>3</v>
      </c>
      <c r="BB19">
        <v>3</v>
      </c>
      <c r="BC19">
        <v>2</v>
      </c>
      <c r="BD19">
        <v>3</v>
      </c>
      <c r="BE19">
        <v>4</v>
      </c>
      <c r="BF19">
        <v>4</v>
      </c>
      <c r="BG19" t="s">
        <v>96</v>
      </c>
      <c r="BH19">
        <v>4</v>
      </c>
      <c r="BI19">
        <v>3</v>
      </c>
      <c r="BJ19">
        <v>3</v>
      </c>
      <c r="BK19">
        <v>3</v>
      </c>
      <c r="BL19" t="s">
        <v>96</v>
      </c>
      <c r="BM19">
        <v>4</v>
      </c>
      <c r="BO19">
        <v>357.01</v>
      </c>
      <c r="BP19">
        <v>217.98</v>
      </c>
      <c r="CC19">
        <v>139.03</v>
      </c>
    </row>
    <row r="20" spans="1:81" x14ac:dyDescent="0.35">
      <c r="A20">
        <v>290</v>
      </c>
      <c r="B20" t="s">
        <v>182</v>
      </c>
      <c r="C20">
        <v>2</v>
      </c>
      <c r="D20" t="s">
        <v>86</v>
      </c>
      <c r="E20">
        <v>1277031838</v>
      </c>
      <c r="F20" t="s">
        <v>183</v>
      </c>
      <c r="G20" t="s">
        <v>182</v>
      </c>
      <c r="H20" t="s">
        <v>88</v>
      </c>
      <c r="I20" t="s">
        <v>89</v>
      </c>
      <c r="J20" t="s">
        <v>89</v>
      </c>
      <c r="K20" t="s">
        <v>89</v>
      </c>
      <c r="L20" t="s">
        <v>89</v>
      </c>
      <c r="M20" t="s">
        <v>88</v>
      </c>
      <c r="O20" t="s">
        <v>88</v>
      </c>
      <c r="Q20" t="s">
        <v>90</v>
      </c>
      <c r="R20" t="s">
        <v>91</v>
      </c>
      <c r="S20" t="s">
        <v>89</v>
      </c>
      <c r="T20" t="s">
        <v>88</v>
      </c>
      <c r="U20" t="s">
        <v>89</v>
      </c>
      <c r="V20" t="s">
        <v>89</v>
      </c>
      <c r="W20" t="s">
        <v>88</v>
      </c>
      <c r="X20" t="s">
        <v>89</v>
      </c>
      <c r="Y20" t="s">
        <v>89</v>
      </c>
      <c r="AD20">
        <v>4</v>
      </c>
      <c r="AE20">
        <v>4</v>
      </c>
      <c r="AF20" t="s">
        <v>92</v>
      </c>
      <c r="AH20" t="s">
        <v>149</v>
      </c>
      <c r="AI20">
        <v>2</v>
      </c>
      <c r="AJ20">
        <v>4</v>
      </c>
      <c r="AK20">
        <v>3</v>
      </c>
      <c r="AL20" t="s">
        <v>109</v>
      </c>
      <c r="AM20">
        <v>4</v>
      </c>
      <c r="AN20">
        <v>4</v>
      </c>
      <c r="AO20">
        <v>3</v>
      </c>
      <c r="AP20">
        <v>3</v>
      </c>
      <c r="AQ20">
        <v>3</v>
      </c>
      <c r="AR20">
        <v>3</v>
      </c>
      <c r="AS20">
        <v>4</v>
      </c>
      <c r="AT20">
        <v>4</v>
      </c>
      <c r="AU20">
        <v>4</v>
      </c>
      <c r="AV20">
        <v>4</v>
      </c>
      <c r="AW20">
        <v>4</v>
      </c>
      <c r="AX20">
        <v>4</v>
      </c>
      <c r="AY20">
        <v>4</v>
      </c>
      <c r="AZ20">
        <v>4</v>
      </c>
      <c r="BA20">
        <v>4</v>
      </c>
      <c r="BB20">
        <v>4</v>
      </c>
      <c r="BC20">
        <v>3</v>
      </c>
      <c r="BD20">
        <v>3</v>
      </c>
      <c r="BE20">
        <v>2</v>
      </c>
      <c r="BF20">
        <v>2</v>
      </c>
      <c r="BG20" t="s">
        <v>96</v>
      </c>
      <c r="BH20">
        <v>4</v>
      </c>
      <c r="BI20">
        <v>4</v>
      </c>
      <c r="BJ20" t="s">
        <v>96</v>
      </c>
      <c r="BK20">
        <v>4</v>
      </c>
      <c r="BL20">
        <v>4</v>
      </c>
      <c r="BM20">
        <v>4</v>
      </c>
      <c r="BO20">
        <v>404.99</v>
      </c>
      <c r="BP20">
        <v>162.66999999999999</v>
      </c>
      <c r="CC20">
        <v>242.32</v>
      </c>
    </row>
    <row r="21" spans="1:81" x14ac:dyDescent="0.35">
      <c r="A21">
        <v>291</v>
      </c>
      <c r="B21" t="s">
        <v>184</v>
      </c>
      <c r="C21">
        <v>2</v>
      </c>
      <c r="D21" t="s">
        <v>86</v>
      </c>
      <c r="E21">
        <v>249367765</v>
      </c>
      <c r="F21" t="s">
        <v>185</v>
      </c>
      <c r="G21" t="s">
        <v>184</v>
      </c>
      <c r="H21" t="s">
        <v>89</v>
      </c>
      <c r="I21" t="s">
        <v>89</v>
      </c>
      <c r="J21" t="s">
        <v>89</v>
      </c>
      <c r="K21" t="s">
        <v>89</v>
      </c>
      <c r="L21" t="s">
        <v>89</v>
      </c>
      <c r="M21" t="s">
        <v>88</v>
      </c>
      <c r="O21" t="s">
        <v>88</v>
      </c>
      <c r="Q21" t="s">
        <v>148</v>
      </c>
      <c r="R21" t="s">
        <v>91</v>
      </c>
      <c r="S21" t="s">
        <v>88</v>
      </c>
      <c r="T21" t="s">
        <v>88</v>
      </c>
      <c r="U21" t="s">
        <v>89</v>
      </c>
      <c r="V21" t="s">
        <v>88</v>
      </c>
      <c r="W21" t="s">
        <v>88</v>
      </c>
      <c r="X21" t="s">
        <v>88</v>
      </c>
      <c r="Y21" t="s">
        <v>88</v>
      </c>
      <c r="AD21" t="s">
        <v>92</v>
      </c>
      <c r="AE21" t="s">
        <v>92</v>
      </c>
      <c r="AF21" t="s">
        <v>92</v>
      </c>
      <c r="AH21" t="s">
        <v>149</v>
      </c>
      <c r="AI21">
        <v>2</v>
      </c>
      <c r="AJ21">
        <v>3</v>
      </c>
      <c r="AK21">
        <v>3</v>
      </c>
      <c r="AL21" t="s">
        <v>109</v>
      </c>
      <c r="AM21">
        <v>3</v>
      </c>
      <c r="AN21">
        <v>3</v>
      </c>
      <c r="AO21">
        <v>3</v>
      </c>
      <c r="AP21">
        <v>3</v>
      </c>
      <c r="AQ21" t="s">
        <v>95</v>
      </c>
      <c r="AR21">
        <v>3</v>
      </c>
      <c r="AS21">
        <v>2</v>
      </c>
      <c r="AT21">
        <v>3</v>
      </c>
      <c r="AU21">
        <v>3</v>
      </c>
      <c r="AV21" t="s">
        <v>94</v>
      </c>
      <c r="AW21">
        <v>2</v>
      </c>
      <c r="AX21" t="s">
        <v>94</v>
      </c>
      <c r="AY21">
        <v>3</v>
      </c>
      <c r="AZ21">
        <v>4</v>
      </c>
      <c r="BA21">
        <v>2</v>
      </c>
      <c r="BB21" t="s">
        <v>94</v>
      </c>
      <c r="BC21" t="s">
        <v>95</v>
      </c>
      <c r="BD21" t="s">
        <v>95</v>
      </c>
      <c r="BE21">
        <v>3</v>
      </c>
      <c r="BF21" t="s">
        <v>94</v>
      </c>
      <c r="BG21">
        <v>3</v>
      </c>
      <c r="BH21">
        <v>4</v>
      </c>
      <c r="BI21">
        <v>4</v>
      </c>
      <c r="BJ21" t="s">
        <v>96</v>
      </c>
      <c r="BK21">
        <v>3</v>
      </c>
      <c r="BL21" t="s">
        <v>96</v>
      </c>
      <c r="BM21" t="s">
        <v>96</v>
      </c>
      <c r="BO21">
        <v>226.47</v>
      </c>
      <c r="BP21">
        <v>79.540000000000006</v>
      </c>
      <c r="CC21">
        <v>146.93</v>
      </c>
    </row>
    <row r="22" spans="1:81" x14ac:dyDescent="0.35">
      <c r="A22">
        <v>292</v>
      </c>
      <c r="B22" t="s">
        <v>186</v>
      </c>
      <c r="C22">
        <v>2</v>
      </c>
      <c r="D22" t="s">
        <v>86</v>
      </c>
      <c r="E22">
        <v>1229455165</v>
      </c>
      <c r="F22" t="s">
        <v>187</v>
      </c>
      <c r="G22" t="s">
        <v>186</v>
      </c>
      <c r="H22" t="s">
        <v>88</v>
      </c>
      <c r="I22" t="s">
        <v>89</v>
      </c>
      <c r="J22" t="s">
        <v>89</v>
      </c>
      <c r="K22" t="s">
        <v>89</v>
      </c>
      <c r="L22" t="s">
        <v>89</v>
      </c>
      <c r="M22" t="s">
        <v>88</v>
      </c>
      <c r="O22" t="s">
        <v>88</v>
      </c>
      <c r="Q22" t="s">
        <v>105</v>
      </c>
      <c r="R22" t="s">
        <v>89</v>
      </c>
      <c r="S22" t="s">
        <v>89</v>
      </c>
      <c r="T22" t="s">
        <v>88</v>
      </c>
      <c r="U22" t="s">
        <v>89</v>
      </c>
      <c r="V22" t="s">
        <v>89</v>
      </c>
      <c r="W22" t="s">
        <v>88</v>
      </c>
      <c r="X22" t="s">
        <v>88</v>
      </c>
      <c r="Y22" t="s">
        <v>88</v>
      </c>
      <c r="AD22" t="s">
        <v>92</v>
      </c>
      <c r="AE22">
        <v>4</v>
      </c>
      <c r="AF22" t="s">
        <v>92</v>
      </c>
      <c r="AH22" t="s">
        <v>149</v>
      </c>
      <c r="AI22">
        <v>3</v>
      </c>
      <c r="AJ22">
        <v>2</v>
      </c>
      <c r="AK22">
        <v>4</v>
      </c>
      <c r="AL22" t="s">
        <v>109</v>
      </c>
      <c r="AM22">
        <v>4</v>
      </c>
      <c r="AN22">
        <v>4</v>
      </c>
      <c r="AO22">
        <v>4</v>
      </c>
      <c r="AP22">
        <v>4</v>
      </c>
      <c r="AQ22">
        <v>3</v>
      </c>
      <c r="AR22" t="s">
        <v>95</v>
      </c>
      <c r="AS22">
        <v>4</v>
      </c>
      <c r="AT22">
        <v>4</v>
      </c>
      <c r="AU22" t="s">
        <v>94</v>
      </c>
      <c r="AV22" t="s">
        <v>94</v>
      </c>
      <c r="AW22">
        <v>4</v>
      </c>
      <c r="AX22" t="s">
        <v>94</v>
      </c>
      <c r="AY22">
        <v>4</v>
      </c>
      <c r="AZ22">
        <v>3</v>
      </c>
      <c r="BA22">
        <v>2</v>
      </c>
      <c r="BB22">
        <v>3</v>
      </c>
      <c r="BC22">
        <v>4</v>
      </c>
      <c r="BD22" t="s">
        <v>94</v>
      </c>
      <c r="BE22">
        <v>4</v>
      </c>
      <c r="BF22">
        <v>4</v>
      </c>
      <c r="BG22">
        <v>2</v>
      </c>
      <c r="BH22">
        <v>2</v>
      </c>
      <c r="BI22">
        <v>2</v>
      </c>
      <c r="BJ22">
        <v>2</v>
      </c>
      <c r="BK22">
        <v>2</v>
      </c>
      <c r="BL22">
        <v>2</v>
      </c>
      <c r="BM22">
        <v>2</v>
      </c>
      <c r="BO22">
        <v>288.49</v>
      </c>
      <c r="BP22">
        <v>90.19</v>
      </c>
      <c r="CC22">
        <v>198.3</v>
      </c>
    </row>
    <row r="23" spans="1:81" x14ac:dyDescent="0.35">
      <c r="A23">
        <v>293</v>
      </c>
      <c r="B23" t="s">
        <v>188</v>
      </c>
      <c r="C23">
        <v>2</v>
      </c>
      <c r="D23" t="s">
        <v>86</v>
      </c>
      <c r="E23">
        <v>59647334</v>
      </c>
      <c r="F23" t="s">
        <v>189</v>
      </c>
      <c r="G23" t="s">
        <v>188</v>
      </c>
      <c r="H23" t="s">
        <v>88</v>
      </c>
      <c r="I23" t="s">
        <v>89</v>
      </c>
      <c r="J23" t="s">
        <v>88</v>
      </c>
      <c r="K23" t="s">
        <v>89</v>
      </c>
      <c r="L23" t="s">
        <v>88</v>
      </c>
      <c r="M23" t="s">
        <v>88</v>
      </c>
      <c r="O23" t="s">
        <v>88</v>
      </c>
      <c r="Q23" t="s">
        <v>105</v>
      </c>
      <c r="R23" t="s">
        <v>91</v>
      </c>
      <c r="S23" t="s">
        <v>89</v>
      </c>
      <c r="T23" t="s">
        <v>88</v>
      </c>
      <c r="U23" t="s">
        <v>89</v>
      </c>
      <c r="V23" t="s">
        <v>89</v>
      </c>
      <c r="W23" t="s">
        <v>88</v>
      </c>
      <c r="X23" t="s">
        <v>89</v>
      </c>
      <c r="Y23" t="s">
        <v>88</v>
      </c>
      <c r="AD23">
        <v>4</v>
      </c>
      <c r="AE23" t="s">
        <v>92</v>
      </c>
      <c r="AF23" t="s">
        <v>92</v>
      </c>
      <c r="AH23" t="s">
        <v>93</v>
      </c>
      <c r="AI23">
        <v>4</v>
      </c>
      <c r="AJ23">
        <v>4</v>
      </c>
      <c r="AK23">
        <v>3</v>
      </c>
      <c r="AL23">
        <v>2</v>
      </c>
      <c r="AM23">
        <v>3</v>
      </c>
      <c r="AN23">
        <v>2</v>
      </c>
      <c r="AO23">
        <v>3</v>
      </c>
      <c r="AP23">
        <v>2</v>
      </c>
      <c r="AQ23">
        <v>2</v>
      </c>
      <c r="AR23" t="s">
        <v>95</v>
      </c>
      <c r="AS23" t="s">
        <v>95</v>
      </c>
      <c r="AT23">
        <v>2</v>
      </c>
      <c r="AU23">
        <v>3</v>
      </c>
      <c r="AV23">
        <v>4</v>
      </c>
      <c r="AW23">
        <v>3</v>
      </c>
      <c r="AX23">
        <v>4</v>
      </c>
      <c r="AY23">
        <v>4</v>
      </c>
      <c r="AZ23">
        <v>3</v>
      </c>
      <c r="BA23">
        <v>2</v>
      </c>
      <c r="BB23">
        <v>3</v>
      </c>
      <c r="BC23" t="s">
        <v>95</v>
      </c>
      <c r="BD23" t="s">
        <v>95</v>
      </c>
      <c r="BE23">
        <v>4</v>
      </c>
      <c r="BF23" t="s">
        <v>94</v>
      </c>
      <c r="BG23">
        <v>4</v>
      </c>
      <c r="BH23">
        <v>3</v>
      </c>
      <c r="BI23">
        <v>3</v>
      </c>
      <c r="BJ23" t="s">
        <v>96</v>
      </c>
      <c r="BK23">
        <v>4</v>
      </c>
      <c r="BL23">
        <v>4</v>
      </c>
      <c r="BM23" t="s">
        <v>96</v>
      </c>
      <c r="BO23">
        <v>205.29</v>
      </c>
      <c r="BP23">
        <v>79.88</v>
      </c>
      <c r="CC23">
        <v>125.41</v>
      </c>
    </row>
    <row r="24" spans="1:81" x14ac:dyDescent="0.35">
      <c r="A24">
        <v>294</v>
      </c>
      <c r="B24" t="s">
        <v>190</v>
      </c>
      <c r="C24">
        <v>2</v>
      </c>
      <c r="D24" t="s">
        <v>86</v>
      </c>
      <c r="E24">
        <v>553600986</v>
      </c>
      <c r="F24" t="s">
        <v>191</v>
      </c>
      <c r="G24" t="s">
        <v>190</v>
      </c>
      <c r="H24" t="s">
        <v>88</v>
      </c>
      <c r="I24" t="s">
        <v>89</v>
      </c>
      <c r="J24" t="s">
        <v>88</v>
      </c>
      <c r="K24" t="s">
        <v>89</v>
      </c>
      <c r="L24" t="s">
        <v>89</v>
      </c>
      <c r="M24" t="s">
        <v>88</v>
      </c>
      <c r="O24" t="s">
        <v>89</v>
      </c>
      <c r="P24" t="s">
        <v>192</v>
      </c>
      <c r="Q24" t="s">
        <v>148</v>
      </c>
      <c r="S24" t="s">
        <v>89</v>
      </c>
      <c r="T24" t="s">
        <v>89</v>
      </c>
      <c r="U24" t="s">
        <v>89</v>
      </c>
      <c r="V24" t="s">
        <v>88</v>
      </c>
      <c r="W24" t="s">
        <v>88</v>
      </c>
      <c r="X24" t="s">
        <v>89</v>
      </c>
      <c r="Y24" t="s">
        <v>89</v>
      </c>
      <c r="AH24" t="s">
        <v>149</v>
      </c>
      <c r="AI24">
        <v>3</v>
      </c>
      <c r="AJ24">
        <v>3</v>
      </c>
      <c r="AK24" t="s">
        <v>109</v>
      </c>
      <c r="AL24" t="s">
        <v>109</v>
      </c>
      <c r="AM24">
        <v>4</v>
      </c>
      <c r="AN24">
        <v>4</v>
      </c>
      <c r="AO24">
        <v>4</v>
      </c>
      <c r="AP24">
        <v>4</v>
      </c>
      <c r="AQ24">
        <v>2</v>
      </c>
      <c r="AR24" t="s">
        <v>95</v>
      </c>
      <c r="AS24">
        <v>3</v>
      </c>
      <c r="AT24">
        <v>4</v>
      </c>
      <c r="AU24">
        <v>3</v>
      </c>
      <c r="AV24">
        <v>2</v>
      </c>
      <c r="AW24">
        <v>4</v>
      </c>
      <c r="AX24" t="s">
        <v>94</v>
      </c>
      <c r="AY24">
        <v>2</v>
      </c>
      <c r="AZ24">
        <v>4</v>
      </c>
      <c r="BA24">
        <v>2</v>
      </c>
      <c r="BB24">
        <v>3</v>
      </c>
      <c r="BC24">
        <v>3</v>
      </c>
      <c r="BD24">
        <v>3</v>
      </c>
      <c r="BE24">
        <v>3</v>
      </c>
      <c r="BF24">
        <v>3</v>
      </c>
      <c r="BG24">
        <v>4</v>
      </c>
      <c r="BH24">
        <v>4</v>
      </c>
      <c r="BI24">
        <v>4</v>
      </c>
      <c r="BJ24">
        <v>4</v>
      </c>
      <c r="BK24" t="s">
        <v>96</v>
      </c>
      <c r="BL24">
        <v>4</v>
      </c>
      <c r="BM24">
        <v>4</v>
      </c>
      <c r="BO24">
        <v>284.14</v>
      </c>
      <c r="BP24">
        <v>91.59</v>
      </c>
      <c r="CC24">
        <v>192.55</v>
      </c>
    </row>
    <row r="25" spans="1:81" x14ac:dyDescent="0.35">
      <c r="A25">
        <v>297</v>
      </c>
      <c r="B25" t="s">
        <v>197</v>
      </c>
      <c r="C25">
        <v>2</v>
      </c>
      <c r="D25" t="s">
        <v>86</v>
      </c>
      <c r="E25">
        <v>1552081405</v>
      </c>
      <c r="F25" t="s">
        <v>198</v>
      </c>
      <c r="G25" t="s">
        <v>197</v>
      </c>
      <c r="H25" t="s">
        <v>89</v>
      </c>
      <c r="I25" t="s">
        <v>89</v>
      </c>
      <c r="J25" t="s">
        <v>88</v>
      </c>
      <c r="K25" t="s">
        <v>89</v>
      </c>
      <c r="L25" t="s">
        <v>88</v>
      </c>
      <c r="M25" t="s">
        <v>88</v>
      </c>
      <c r="O25" t="s">
        <v>88</v>
      </c>
      <c r="Q25" t="s">
        <v>105</v>
      </c>
      <c r="R25" t="s">
        <v>91</v>
      </c>
      <c r="S25" t="s">
        <v>88</v>
      </c>
      <c r="T25" t="s">
        <v>88</v>
      </c>
      <c r="U25" t="s">
        <v>89</v>
      </c>
      <c r="V25" t="s">
        <v>89</v>
      </c>
      <c r="W25" t="s">
        <v>89</v>
      </c>
      <c r="X25" t="s">
        <v>89</v>
      </c>
      <c r="Y25" t="s">
        <v>89</v>
      </c>
      <c r="AD25" t="s">
        <v>131</v>
      </c>
      <c r="AE25" t="s">
        <v>92</v>
      </c>
      <c r="AF25" t="s">
        <v>131</v>
      </c>
      <c r="AH25" t="s">
        <v>108</v>
      </c>
      <c r="AI25">
        <v>3</v>
      </c>
      <c r="AJ25">
        <v>3</v>
      </c>
      <c r="AK25">
        <v>4</v>
      </c>
      <c r="AL25" t="s">
        <v>109</v>
      </c>
      <c r="AM25">
        <v>3</v>
      </c>
      <c r="AN25">
        <v>3</v>
      </c>
      <c r="AO25">
        <v>4</v>
      </c>
      <c r="AP25">
        <v>2</v>
      </c>
      <c r="AQ25">
        <v>2</v>
      </c>
      <c r="AR25" t="s">
        <v>95</v>
      </c>
      <c r="AS25">
        <v>3</v>
      </c>
      <c r="AT25">
        <v>3</v>
      </c>
      <c r="AU25">
        <v>4</v>
      </c>
      <c r="AV25">
        <v>4</v>
      </c>
      <c r="AW25">
        <v>3</v>
      </c>
      <c r="AX25">
        <v>3</v>
      </c>
      <c r="AY25">
        <v>3</v>
      </c>
      <c r="AZ25">
        <v>3</v>
      </c>
      <c r="BA25">
        <v>3</v>
      </c>
      <c r="BB25">
        <v>3</v>
      </c>
      <c r="BC25">
        <v>3</v>
      </c>
      <c r="BD25">
        <v>3</v>
      </c>
      <c r="BE25">
        <v>3</v>
      </c>
      <c r="BF25">
        <v>3</v>
      </c>
      <c r="BG25">
        <v>4</v>
      </c>
      <c r="BH25" t="s">
        <v>96</v>
      </c>
      <c r="BI25" t="s">
        <v>96</v>
      </c>
      <c r="BJ25" t="s">
        <v>96</v>
      </c>
      <c r="BK25" t="s">
        <v>96</v>
      </c>
      <c r="BL25" t="s">
        <v>96</v>
      </c>
      <c r="BM25" t="s">
        <v>96</v>
      </c>
      <c r="BO25">
        <v>306.63</v>
      </c>
      <c r="BP25">
        <v>121.01</v>
      </c>
      <c r="CC25">
        <v>185.62</v>
      </c>
    </row>
    <row r="26" spans="1:81" x14ac:dyDescent="0.35">
      <c r="A26">
        <v>298</v>
      </c>
      <c r="B26" t="s">
        <v>199</v>
      </c>
      <c r="C26">
        <v>2</v>
      </c>
      <c r="D26" t="s">
        <v>86</v>
      </c>
      <c r="E26">
        <v>911713650</v>
      </c>
      <c r="F26" t="s">
        <v>200</v>
      </c>
      <c r="G26" t="s">
        <v>199</v>
      </c>
      <c r="H26" t="s">
        <v>88</v>
      </c>
      <c r="I26" t="s">
        <v>88</v>
      </c>
      <c r="J26" t="s">
        <v>88</v>
      </c>
      <c r="K26" t="s">
        <v>89</v>
      </c>
      <c r="L26" t="s">
        <v>89</v>
      </c>
      <c r="M26" t="s">
        <v>89</v>
      </c>
      <c r="O26" t="s">
        <v>88</v>
      </c>
      <c r="Q26" t="s">
        <v>139</v>
      </c>
      <c r="R26" t="s">
        <v>89</v>
      </c>
      <c r="S26" t="s">
        <v>89</v>
      </c>
      <c r="T26" t="s">
        <v>88</v>
      </c>
      <c r="U26" t="s">
        <v>89</v>
      </c>
      <c r="V26" t="s">
        <v>88</v>
      </c>
      <c r="W26" t="s">
        <v>88</v>
      </c>
      <c r="X26" t="s">
        <v>89</v>
      </c>
      <c r="Y26" t="s">
        <v>89</v>
      </c>
      <c r="AD26" t="s">
        <v>131</v>
      </c>
      <c r="AE26" t="s">
        <v>92</v>
      </c>
      <c r="AF26" t="s">
        <v>92</v>
      </c>
      <c r="AG26" t="s">
        <v>201</v>
      </c>
      <c r="AH26" t="s">
        <v>108</v>
      </c>
      <c r="AI26">
        <v>3</v>
      </c>
      <c r="AJ26">
        <v>4</v>
      </c>
      <c r="AK26">
        <v>3</v>
      </c>
      <c r="AL26" t="s">
        <v>109</v>
      </c>
      <c r="AM26">
        <v>4</v>
      </c>
      <c r="AN26">
        <v>4</v>
      </c>
      <c r="AO26">
        <v>4</v>
      </c>
      <c r="AP26">
        <v>3</v>
      </c>
      <c r="AQ26">
        <v>3</v>
      </c>
      <c r="AR26">
        <v>3</v>
      </c>
      <c r="AS26">
        <v>3</v>
      </c>
      <c r="AT26">
        <v>4</v>
      </c>
      <c r="AU26">
        <v>4</v>
      </c>
      <c r="AV26">
        <v>4</v>
      </c>
      <c r="AW26">
        <v>3</v>
      </c>
      <c r="AX26">
        <v>2</v>
      </c>
      <c r="AY26">
        <v>3</v>
      </c>
      <c r="AZ26">
        <v>4</v>
      </c>
      <c r="BA26">
        <v>4</v>
      </c>
      <c r="BB26" t="s">
        <v>94</v>
      </c>
      <c r="BC26">
        <v>4</v>
      </c>
      <c r="BD26">
        <v>4</v>
      </c>
      <c r="BE26">
        <v>3</v>
      </c>
      <c r="BF26" t="s">
        <v>94</v>
      </c>
      <c r="BG26" t="s">
        <v>96</v>
      </c>
      <c r="BH26">
        <v>4</v>
      </c>
      <c r="BI26">
        <v>4</v>
      </c>
      <c r="BJ26">
        <v>4</v>
      </c>
      <c r="BK26">
        <v>4</v>
      </c>
      <c r="BL26">
        <v>4</v>
      </c>
      <c r="BM26">
        <v>4</v>
      </c>
      <c r="BN26" t="s">
        <v>202</v>
      </c>
      <c r="BO26">
        <v>174.68</v>
      </c>
      <c r="BP26">
        <v>54.09</v>
      </c>
      <c r="CC26">
        <v>120.59</v>
      </c>
    </row>
    <row r="27" spans="1:81" x14ac:dyDescent="0.35">
      <c r="A27">
        <v>299</v>
      </c>
      <c r="B27" t="s">
        <v>203</v>
      </c>
      <c r="C27">
        <v>2</v>
      </c>
      <c r="D27" t="s">
        <v>86</v>
      </c>
      <c r="E27">
        <v>1594129444</v>
      </c>
      <c r="F27" t="s">
        <v>204</v>
      </c>
      <c r="G27" t="s">
        <v>203</v>
      </c>
      <c r="H27" t="s">
        <v>88</v>
      </c>
      <c r="I27" t="s">
        <v>89</v>
      </c>
      <c r="J27" t="s">
        <v>89</v>
      </c>
      <c r="K27" t="s">
        <v>89</v>
      </c>
      <c r="L27" t="s">
        <v>89</v>
      </c>
      <c r="M27" t="s">
        <v>89</v>
      </c>
      <c r="O27" t="s">
        <v>88</v>
      </c>
      <c r="Q27" t="s">
        <v>139</v>
      </c>
      <c r="R27" t="s">
        <v>89</v>
      </c>
      <c r="S27" t="s">
        <v>88</v>
      </c>
      <c r="T27" t="s">
        <v>88</v>
      </c>
      <c r="U27" t="s">
        <v>89</v>
      </c>
      <c r="V27" t="s">
        <v>89</v>
      </c>
      <c r="W27" t="s">
        <v>88</v>
      </c>
      <c r="X27" t="s">
        <v>89</v>
      </c>
      <c r="Y27" t="s">
        <v>88</v>
      </c>
      <c r="AD27">
        <v>2</v>
      </c>
      <c r="AE27">
        <v>2</v>
      </c>
      <c r="AF27">
        <v>2</v>
      </c>
      <c r="AG27" t="s">
        <v>205</v>
      </c>
      <c r="AH27" t="s">
        <v>108</v>
      </c>
      <c r="AI27">
        <v>3</v>
      </c>
      <c r="AJ27">
        <v>3</v>
      </c>
      <c r="AK27">
        <v>4</v>
      </c>
      <c r="AL27" t="s">
        <v>109</v>
      </c>
      <c r="AM27" t="s">
        <v>94</v>
      </c>
      <c r="AN27">
        <v>4</v>
      </c>
      <c r="AO27">
        <v>3</v>
      </c>
      <c r="AP27">
        <v>2</v>
      </c>
      <c r="AQ27">
        <v>4</v>
      </c>
      <c r="AR27">
        <v>3</v>
      </c>
      <c r="AS27">
        <v>3</v>
      </c>
      <c r="AT27">
        <v>2</v>
      </c>
      <c r="AU27" t="s">
        <v>94</v>
      </c>
      <c r="AV27">
        <v>3</v>
      </c>
      <c r="AW27" t="s">
        <v>94</v>
      </c>
      <c r="AX27">
        <v>4</v>
      </c>
      <c r="AY27" t="s">
        <v>94</v>
      </c>
      <c r="AZ27" t="s">
        <v>94</v>
      </c>
      <c r="BA27" t="s">
        <v>94</v>
      </c>
      <c r="BB27" t="s">
        <v>94</v>
      </c>
      <c r="BC27">
        <v>3</v>
      </c>
      <c r="BD27">
        <v>3</v>
      </c>
      <c r="BE27">
        <v>2</v>
      </c>
      <c r="BF27">
        <v>4</v>
      </c>
      <c r="BG27">
        <v>3</v>
      </c>
      <c r="BH27">
        <v>3</v>
      </c>
      <c r="BI27">
        <v>3</v>
      </c>
      <c r="BJ27">
        <v>4</v>
      </c>
      <c r="BK27">
        <v>4</v>
      </c>
      <c r="BL27">
        <v>3</v>
      </c>
      <c r="BM27">
        <v>4</v>
      </c>
      <c r="BN27" t="s">
        <v>206</v>
      </c>
      <c r="BO27">
        <v>259.08999999999997</v>
      </c>
      <c r="BP27">
        <v>102.46</v>
      </c>
      <c r="CC27">
        <v>156.63</v>
      </c>
    </row>
    <row r="28" spans="1:81" x14ac:dyDescent="0.35">
      <c r="A28">
        <v>300</v>
      </c>
      <c r="B28" t="s">
        <v>207</v>
      </c>
      <c r="C28">
        <v>2</v>
      </c>
      <c r="D28" t="s">
        <v>86</v>
      </c>
      <c r="E28">
        <v>1240125754</v>
      </c>
      <c r="F28" t="s">
        <v>208</v>
      </c>
      <c r="G28" t="s">
        <v>207</v>
      </c>
      <c r="H28" t="s">
        <v>88</v>
      </c>
      <c r="I28" t="s">
        <v>89</v>
      </c>
      <c r="J28" t="s">
        <v>89</v>
      </c>
      <c r="K28" t="s">
        <v>89</v>
      </c>
      <c r="L28" t="s">
        <v>89</v>
      </c>
      <c r="M28" t="s">
        <v>89</v>
      </c>
      <c r="O28" t="s">
        <v>89</v>
      </c>
      <c r="P28" t="s">
        <v>209</v>
      </c>
      <c r="Q28" t="s">
        <v>148</v>
      </c>
      <c r="S28" t="s">
        <v>89</v>
      </c>
      <c r="T28" t="s">
        <v>89</v>
      </c>
      <c r="U28" t="s">
        <v>89</v>
      </c>
      <c r="V28" t="s">
        <v>89</v>
      </c>
      <c r="W28" t="s">
        <v>88</v>
      </c>
      <c r="X28" t="s">
        <v>88</v>
      </c>
      <c r="Y28" t="s">
        <v>88</v>
      </c>
      <c r="AH28" t="s">
        <v>108</v>
      </c>
      <c r="AI28">
        <v>3</v>
      </c>
      <c r="AJ28">
        <v>3</v>
      </c>
      <c r="AK28">
        <v>4</v>
      </c>
      <c r="AL28" t="s">
        <v>109</v>
      </c>
      <c r="AM28" t="s">
        <v>94</v>
      </c>
      <c r="AN28">
        <v>2</v>
      </c>
      <c r="AO28" t="s">
        <v>94</v>
      </c>
      <c r="AP28">
        <v>4</v>
      </c>
      <c r="AQ28">
        <v>4</v>
      </c>
      <c r="AR28">
        <v>4</v>
      </c>
      <c r="AS28" t="s">
        <v>94</v>
      </c>
      <c r="AT28">
        <v>2</v>
      </c>
      <c r="AU28" t="s">
        <v>94</v>
      </c>
      <c r="AV28">
        <v>3</v>
      </c>
      <c r="AW28">
        <v>4</v>
      </c>
      <c r="AX28" t="s">
        <v>94</v>
      </c>
      <c r="AY28" t="s">
        <v>94</v>
      </c>
      <c r="AZ28">
        <v>3</v>
      </c>
      <c r="BA28" t="s">
        <v>94</v>
      </c>
      <c r="BB28">
        <v>3</v>
      </c>
      <c r="BC28" t="s">
        <v>94</v>
      </c>
      <c r="BD28">
        <v>3</v>
      </c>
      <c r="BE28" t="s">
        <v>94</v>
      </c>
      <c r="BF28">
        <v>3</v>
      </c>
      <c r="BG28" t="s">
        <v>96</v>
      </c>
      <c r="BH28">
        <v>4</v>
      </c>
      <c r="BI28" t="s">
        <v>96</v>
      </c>
      <c r="BJ28">
        <v>4</v>
      </c>
      <c r="BK28">
        <v>4</v>
      </c>
      <c r="BL28">
        <v>4</v>
      </c>
      <c r="BM28">
        <v>4</v>
      </c>
      <c r="BO28">
        <v>195.31</v>
      </c>
      <c r="BP28">
        <v>76.92</v>
      </c>
      <c r="CC28">
        <v>118.39</v>
      </c>
    </row>
    <row r="29" spans="1:81" x14ac:dyDescent="0.35">
      <c r="A29">
        <v>301</v>
      </c>
      <c r="B29" t="s">
        <v>210</v>
      </c>
      <c r="C29">
        <v>2</v>
      </c>
      <c r="D29" t="s">
        <v>86</v>
      </c>
      <c r="E29">
        <v>2024153948</v>
      </c>
      <c r="F29" t="s">
        <v>211</v>
      </c>
      <c r="G29" t="s">
        <v>210</v>
      </c>
      <c r="H29" t="s">
        <v>88</v>
      </c>
      <c r="I29" t="s">
        <v>89</v>
      </c>
      <c r="J29" t="s">
        <v>89</v>
      </c>
      <c r="K29" t="s">
        <v>89</v>
      </c>
      <c r="L29" t="s">
        <v>89</v>
      </c>
      <c r="M29" t="s">
        <v>89</v>
      </c>
      <c r="O29" t="s">
        <v>89</v>
      </c>
      <c r="P29" t="s">
        <v>212</v>
      </c>
      <c r="Q29" t="s">
        <v>105</v>
      </c>
      <c r="S29" t="s">
        <v>89</v>
      </c>
      <c r="T29" t="s">
        <v>89</v>
      </c>
      <c r="U29" t="s">
        <v>89</v>
      </c>
      <c r="V29" t="s">
        <v>88</v>
      </c>
      <c r="W29" t="s">
        <v>89</v>
      </c>
      <c r="X29" t="s">
        <v>88</v>
      </c>
      <c r="Y29" t="s">
        <v>89</v>
      </c>
      <c r="Z29" t="s">
        <v>213</v>
      </c>
      <c r="AH29" t="s">
        <v>108</v>
      </c>
      <c r="AI29">
        <v>3</v>
      </c>
      <c r="AJ29">
        <v>3</v>
      </c>
      <c r="AK29">
        <v>3</v>
      </c>
      <c r="AL29" t="s">
        <v>109</v>
      </c>
      <c r="AM29">
        <v>4</v>
      </c>
      <c r="AN29">
        <v>3</v>
      </c>
      <c r="AO29">
        <v>3</v>
      </c>
      <c r="AP29">
        <v>3</v>
      </c>
      <c r="AQ29">
        <v>4</v>
      </c>
      <c r="AR29">
        <v>2</v>
      </c>
      <c r="AS29">
        <v>2</v>
      </c>
      <c r="AT29">
        <v>3</v>
      </c>
      <c r="AU29">
        <v>3</v>
      </c>
      <c r="AV29">
        <v>3</v>
      </c>
      <c r="AW29">
        <v>3</v>
      </c>
      <c r="AX29">
        <v>4</v>
      </c>
      <c r="AY29" t="s">
        <v>94</v>
      </c>
      <c r="AZ29">
        <v>4</v>
      </c>
      <c r="BA29">
        <v>3</v>
      </c>
      <c r="BB29">
        <v>3</v>
      </c>
      <c r="BC29">
        <v>3</v>
      </c>
      <c r="BD29">
        <v>3</v>
      </c>
      <c r="BE29">
        <v>3</v>
      </c>
      <c r="BF29">
        <v>4</v>
      </c>
      <c r="BG29">
        <v>3</v>
      </c>
      <c r="BH29">
        <v>3</v>
      </c>
      <c r="BI29">
        <v>3</v>
      </c>
      <c r="BJ29">
        <v>4</v>
      </c>
      <c r="BK29">
        <v>4</v>
      </c>
      <c r="BL29">
        <v>4</v>
      </c>
      <c r="BM29">
        <v>4</v>
      </c>
      <c r="BO29">
        <v>332.46</v>
      </c>
      <c r="BP29">
        <v>122.02</v>
      </c>
      <c r="CC29">
        <v>210.44</v>
      </c>
    </row>
    <row r="30" spans="1:81" x14ac:dyDescent="0.35">
      <c r="A30">
        <v>302</v>
      </c>
      <c r="B30" t="s">
        <v>214</v>
      </c>
      <c r="C30">
        <v>2</v>
      </c>
      <c r="D30" t="s">
        <v>86</v>
      </c>
      <c r="E30">
        <v>1493544326</v>
      </c>
      <c r="F30" t="s">
        <v>215</v>
      </c>
      <c r="G30" t="s">
        <v>216</v>
      </c>
      <c r="H30" t="s">
        <v>88</v>
      </c>
      <c r="I30" t="s">
        <v>89</v>
      </c>
      <c r="J30" t="s">
        <v>88</v>
      </c>
      <c r="K30" t="s">
        <v>89</v>
      </c>
      <c r="L30" t="s">
        <v>88</v>
      </c>
      <c r="M30" t="s">
        <v>88</v>
      </c>
      <c r="N30" t="s">
        <v>217</v>
      </c>
      <c r="O30" t="s">
        <v>88</v>
      </c>
      <c r="Q30" t="s">
        <v>148</v>
      </c>
      <c r="R30" t="s">
        <v>88</v>
      </c>
      <c r="S30" t="s">
        <v>88</v>
      </c>
      <c r="T30" t="s">
        <v>89</v>
      </c>
      <c r="U30" t="s">
        <v>88</v>
      </c>
      <c r="V30" t="s">
        <v>89</v>
      </c>
      <c r="W30" t="s">
        <v>88</v>
      </c>
      <c r="X30" t="s">
        <v>89</v>
      </c>
      <c r="Y30" t="s">
        <v>89</v>
      </c>
      <c r="Z30" t="s">
        <v>218</v>
      </c>
      <c r="AD30" t="s">
        <v>131</v>
      </c>
      <c r="AE30" t="s">
        <v>131</v>
      </c>
      <c r="AF30" t="s">
        <v>92</v>
      </c>
      <c r="AH30" t="s">
        <v>149</v>
      </c>
      <c r="AI30">
        <v>2</v>
      </c>
      <c r="AJ30">
        <v>2</v>
      </c>
      <c r="AK30">
        <v>4</v>
      </c>
      <c r="AL30" t="s">
        <v>109</v>
      </c>
      <c r="AM30" t="s">
        <v>94</v>
      </c>
      <c r="AN30" t="s">
        <v>94</v>
      </c>
      <c r="AO30">
        <v>4</v>
      </c>
      <c r="AP30" t="s">
        <v>94</v>
      </c>
      <c r="AQ30" t="s">
        <v>94</v>
      </c>
      <c r="AR30" t="s">
        <v>94</v>
      </c>
      <c r="AS30">
        <v>3</v>
      </c>
      <c r="AT30">
        <v>3</v>
      </c>
      <c r="AU30" t="s">
        <v>94</v>
      </c>
      <c r="AV30" t="s">
        <v>94</v>
      </c>
      <c r="AW30" t="s">
        <v>94</v>
      </c>
      <c r="AX30" t="s">
        <v>94</v>
      </c>
      <c r="AY30">
        <v>4</v>
      </c>
      <c r="AZ30" t="s">
        <v>94</v>
      </c>
      <c r="BA30">
        <v>3</v>
      </c>
      <c r="BB30" t="s">
        <v>94</v>
      </c>
      <c r="BC30">
        <v>3</v>
      </c>
      <c r="BD30" t="s">
        <v>94</v>
      </c>
      <c r="BE30">
        <v>4</v>
      </c>
      <c r="BF30" t="s">
        <v>94</v>
      </c>
      <c r="BG30" t="s">
        <v>96</v>
      </c>
      <c r="BH30">
        <v>4</v>
      </c>
      <c r="BI30">
        <v>3</v>
      </c>
      <c r="BJ30">
        <v>4</v>
      </c>
      <c r="BK30">
        <v>4</v>
      </c>
      <c r="BL30">
        <v>4</v>
      </c>
      <c r="BM30">
        <v>4</v>
      </c>
      <c r="BO30">
        <v>325.74</v>
      </c>
      <c r="BP30">
        <v>131.74</v>
      </c>
      <c r="CC30">
        <v>194</v>
      </c>
    </row>
    <row r="31" spans="1:81" x14ac:dyDescent="0.35">
      <c r="A31">
        <v>303</v>
      </c>
      <c r="B31" t="s">
        <v>219</v>
      </c>
      <c r="C31">
        <v>2</v>
      </c>
      <c r="D31" t="s">
        <v>86</v>
      </c>
      <c r="E31">
        <v>1799368398</v>
      </c>
      <c r="F31" t="s">
        <v>220</v>
      </c>
      <c r="G31" t="s">
        <v>221</v>
      </c>
      <c r="H31" t="s">
        <v>88</v>
      </c>
      <c r="I31" t="s">
        <v>89</v>
      </c>
      <c r="J31" t="s">
        <v>89</v>
      </c>
      <c r="K31" t="s">
        <v>89</v>
      </c>
      <c r="L31" t="s">
        <v>89</v>
      </c>
      <c r="M31" t="s">
        <v>89</v>
      </c>
      <c r="O31" t="s">
        <v>88</v>
      </c>
      <c r="Q31" t="s">
        <v>105</v>
      </c>
      <c r="R31" t="s">
        <v>91</v>
      </c>
      <c r="S31" t="s">
        <v>89</v>
      </c>
      <c r="T31" t="s">
        <v>88</v>
      </c>
      <c r="U31" t="s">
        <v>89</v>
      </c>
      <c r="V31" t="s">
        <v>89</v>
      </c>
      <c r="W31" t="s">
        <v>88</v>
      </c>
      <c r="X31" t="s">
        <v>89</v>
      </c>
      <c r="Y31" t="s">
        <v>88</v>
      </c>
      <c r="AD31">
        <v>4</v>
      </c>
      <c r="AE31" t="s">
        <v>92</v>
      </c>
      <c r="AF31" t="s">
        <v>92</v>
      </c>
      <c r="AH31" t="s">
        <v>108</v>
      </c>
      <c r="AI31" t="s">
        <v>115</v>
      </c>
      <c r="AJ31">
        <v>2</v>
      </c>
      <c r="AK31">
        <v>2</v>
      </c>
      <c r="AL31">
        <v>4</v>
      </c>
      <c r="AM31">
        <v>4</v>
      </c>
      <c r="AN31">
        <v>3</v>
      </c>
      <c r="AO31">
        <v>4</v>
      </c>
      <c r="AP31">
        <v>4</v>
      </c>
      <c r="AQ31">
        <v>3</v>
      </c>
      <c r="AR31">
        <v>2</v>
      </c>
      <c r="AS31">
        <v>3</v>
      </c>
      <c r="AT31">
        <v>3</v>
      </c>
      <c r="AU31">
        <v>3</v>
      </c>
      <c r="AV31" t="s">
        <v>95</v>
      </c>
      <c r="AW31">
        <v>4</v>
      </c>
      <c r="AX31">
        <v>4</v>
      </c>
      <c r="AY31">
        <v>4</v>
      </c>
      <c r="AZ31">
        <v>4</v>
      </c>
      <c r="BA31">
        <v>3</v>
      </c>
      <c r="BB31">
        <v>3</v>
      </c>
      <c r="BC31">
        <v>3</v>
      </c>
      <c r="BD31">
        <v>3</v>
      </c>
      <c r="BE31">
        <v>4</v>
      </c>
      <c r="BF31">
        <v>4</v>
      </c>
      <c r="BG31">
        <v>4</v>
      </c>
      <c r="BH31">
        <v>4</v>
      </c>
      <c r="BI31">
        <v>4</v>
      </c>
      <c r="BJ31">
        <v>4</v>
      </c>
      <c r="BK31">
        <v>3</v>
      </c>
      <c r="BL31">
        <v>4</v>
      </c>
      <c r="BM31">
        <v>3</v>
      </c>
      <c r="BO31">
        <v>214.27</v>
      </c>
      <c r="BP31">
        <v>61.27</v>
      </c>
      <c r="CC31">
        <v>153</v>
      </c>
    </row>
    <row r="32" spans="1:81" x14ac:dyDescent="0.35">
      <c r="A32">
        <v>305</v>
      </c>
      <c r="B32" t="s">
        <v>223</v>
      </c>
      <c r="C32">
        <v>2</v>
      </c>
      <c r="D32" t="s">
        <v>86</v>
      </c>
      <c r="E32">
        <v>2103993366</v>
      </c>
      <c r="F32" t="s">
        <v>224</v>
      </c>
      <c r="G32" t="s">
        <v>223</v>
      </c>
      <c r="H32" t="s">
        <v>88</v>
      </c>
      <c r="I32" t="s">
        <v>88</v>
      </c>
      <c r="J32" t="s">
        <v>89</v>
      </c>
      <c r="K32" t="s">
        <v>89</v>
      </c>
      <c r="L32" t="s">
        <v>89</v>
      </c>
      <c r="M32" t="s">
        <v>89</v>
      </c>
      <c r="O32" t="s">
        <v>89</v>
      </c>
      <c r="P32" t="s">
        <v>225</v>
      </c>
      <c r="Q32" t="s">
        <v>105</v>
      </c>
      <c r="S32" t="s">
        <v>89</v>
      </c>
      <c r="T32" t="s">
        <v>89</v>
      </c>
      <c r="U32" t="s">
        <v>89</v>
      </c>
      <c r="V32" t="s">
        <v>89</v>
      </c>
      <c r="W32" t="s">
        <v>88</v>
      </c>
      <c r="X32" t="s">
        <v>89</v>
      </c>
      <c r="Y32" t="s">
        <v>88</v>
      </c>
      <c r="AG32" t="s">
        <v>226</v>
      </c>
      <c r="AH32" t="s">
        <v>93</v>
      </c>
      <c r="AI32">
        <v>3</v>
      </c>
      <c r="AJ32">
        <v>4</v>
      </c>
      <c r="AK32">
        <v>4</v>
      </c>
      <c r="AL32" t="s">
        <v>109</v>
      </c>
      <c r="AM32">
        <v>3</v>
      </c>
      <c r="AN32">
        <v>3</v>
      </c>
      <c r="AO32">
        <v>3</v>
      </c>
      <c r="AP32">
        <v>4</v>
      </c>
      <c r="AQ32">
        <v>4</v>
      </c>
      <c r="AR32">
        <v>4</v>
      </c>
      <c r="AS32">
        <v>2</v>
      </c>
      <c r="AT32">
        <v>3</v>
      </c>
      <c r="AU32">
        <v>4</v>
      </c>
      <c r="AV32">
        <v>4</v>
      </c>
      <c r="AW32">
        <v>4</v>
      </c>
      <c r="AX32">
        <v>3</v>
      </c>
      <c r="AY32">
        <v>3</v>
      </c>
      <c r="AZ32">
        <v>4</v>
      </c>
      <c r="BA32">
        <v>3</v>
      </c>
      <c r="BB32">
        <v>3</v>
      </c>
      <c r="BC32">
        <v>3</v>
      </c>
      <c r="BD32">
        <v>3</v>
      </c>
      <c r="BE32" t="s">
        <v>94</v>
      </c>
      <c r="BF32" t="s">
        <v>94</v>
      </c>
      <c r="BG32">
        <v>4</v>
      </c>
      <c r="BH32">
        <v>4</v>
      </c>
      <c r="BI32">
        <v>4</v>
      </c>
      <c r="BJ32">
        <v>4</v>
      </c>
      <c r="BK32">
        <v>3</v>
      </c>
      <c r="BL32">
        <v>4</v>
      </c>
      <c r="BM32">
        <v>4</v>
      </c>
      <c r="BO32">
        <v>151.47</v>
      </c>
      <c r="BP32">
        <v>61.27</v>
      </c>
      <c r="CC32">
        <v>90.2</v>
      </c>
    </row>
    <row r="33" spans="1:81" x14ac:dyDescent="0.35">
      <c r="A33">
        <v>306</v>
      </c>
      <c r="B33" t="s">
        <v>227</v>
      </c>
      <c r="C33">
        <v>2</v>
      </c>
      <c r="D33" t="s">
        <v>86</v>
      </c>
      <c r="E33">
        <v>35479057</v>
      </c>
      <c r="F33" t="s">
        <v>228</v>
      </c>
      <c r="G33" t="s">
        <v>227</v>
      </c>
      <c r="H33" t="s">
        <v>88</v>
      </c>
      <c r="I33" t="s">
        <v>89</v>
      </c>
      <c r="J33" t="s">
        <v>89</v>
      </c>
      <c r="K33" t="s">
        <v>89</v>
      </c>
      <c r="L33" t="s">
        <v>88</v>
      </c>
      <c r="M33" t="s">
        <v>89</v>
      </c>
      <c r="O33" t="s">
        <v>88</v>
      </c>
      <c r="Q33" t="s">
        <v>105</v>
      </c>
      <c r="R33" t="s">
        <v>91</v>
      </c>
      <c r="S33" t="s">
        <v>89</v>
      </c>
      <c r="T33" t="s">
        <v>89</v>
      </c>
      <c r="U33" t="s">
        <v>89</v>
      </c>
      <c r="V33" t="s">
        <v>89</v>
      </c>
      <c r="W33" t="s">
        <v>88</v>
      </c>
      <c r="X33" t="s">
        <v>89</v>
      </c>
      <c r="Y33" t="s">
        <v>89</v>
      </c>
      <c r="AD33" t="s">
        <v>131</v>
      </c>
      <c r="AE33" t="s">
        <v>131</v>
      </c>
      <c r="AF33" t="s">
        <v>131</v>
      </c>
      <c r="AH33" t="s">
        <v>149</v>
      </c>
      <c r="AI33">
        <v>3</v>
      </c>
      <c r="AJ33">
        <v>4</v>
      </c>
      <c r="AK33" t="s">
        <v>109</v>
      </c>
      <c r="AL33" t="s">
        <v>109</v>
      </c>
      <c r="AM33">
        <v>4</v>
      </c>
      <c r="AN33">
        <v>4</v>
      </c>
      <c r="AO33">
        <v>4</v>
      </c>
      <c r="AP33">
        <v>4</v>
      </c>
      <c r="AQ33">
        <v>4</v>
      </c>
      <c r="AR33">
        <v>4</v>
      </c>
      <c r="AS33">
        <v>3</v>
      </c>
      <c r="AT33">
        <v>4</v>
      </c>
      <c r="AU33">
        <v>4</v>
      </c>
      <c r="AV33">
        <v>4</v>
      </c>
      <c r="AW33">
        <v>4</v>
      </c>
      <c r="AX33">
        <v>4</v>
      </c>
      <c r="AY33">
        <v>4</v>
      </c>
      <c r="AZ33">
        <v>4</v>
      </c>
      <c r="BA33">
        <v>4</v>
      </c>
      <c r="BB33">
        <v>4</v>
      </c>
      <c r="BC33">
        <v>4</v>
      </c>
      <c r="BD33">
        <v>4</v>
      </c>
      <c r="BE33">
        <v>4</v>
      </c>
      <c r="BF33">
        <v>4</v>
      </c>
      <c r="BG33">
        <v>4</v>
      </c>
      <c r="BH33">
        <v>4</v>
      </c>
      <c r="BI33">
        <v>4</v>
      </c>
      <c r="BJ33">
        <v>4</v>
      </c>
      <c r="BK33">
        <v>4</v>
      </c>
      <c r="BL33">
        <v>4</v>
      </c>
      <c r="BM33">
        <v>4</v>
      </c>
      <c r="BO33">
        <v>449.78</v>
      </c>
      <c r="BP33">
        <v>182.08</v>
      </c>
      <c r="CC33">
        <v>267.7</v>
      </c>
    </row>
    <row r="34" spans="1:81" x14ac:dyDescent="0.35">
      <c r="A34">
        <v>307</v>
      </c>
      <c r="B34" t="s">
        <v>229</v>
      </c>
      <c r="C34">
        <v>2</v>
      </c>
      <c r="D34" t="s">
        <v>86</v>
      </c>
      <c r="E34">
        <v>52684743</v>
      </c>
      <c r="F34" t="s">
        <v>230</v>
      </c>
      <c r="G34" t="s">
        <v>229</v>
      </c>
      <c r="H34" t="s">
        <v>88</v>
      </c>
      <c r="I34" t="s">
        <v>89</v>
      </c>
      <c r="J34" t="s">
        <v>89</v>
      </c>
      <c r="K34" t="s">
        <v>89</v>
      </c>
      <c r="L34" t="s">
        <v>89</v>
      </c>
      <c r="M34" t="s">
        <v>88</v>
      </c>
      <c r="O34" t="s">
        <v>89</v>
      </c>
      <c r="P34" t="s">
        <v>231</v>
      </c>
      <c r="Q34" t="s">
        <v>90</v>
      </c>
      <c r="S34" t="s">
        <v>89</v>
      </c>
      <c r="T34" t="s">
        <v>89</v>
      </c>
      <c r="U34" t="s">
        <v>89</v>
      </c>
      <c r="V34" t="s">
        <v>89</v>
      </c>
      <c r="W34" t="s">
        <v>88</v>
      </c>
      <c r="X34" t="s">
        <v>88</v>
      </c>
      <c r="Y34" t="s">
        <v>88</v>
      </c>
      <c r="AH34" t="s">
        <v>149</v>
      </c>
      <c r="AI34">
        <v>3</v>
      </c>
      <c r="AJ34">
        <v>2</v>
      </c>
      <c r="AK34">
        <v>4</v>
      </c>
      <c r="AL34" t="s">
        <v>109</v>
      </c>
      <c r="AM34" t="s">
        <v>94</v>
      </c>
      <c r="AN34" t="s">
        <v>95</v>
      </c>
      <c r="AO34">
        <v>3</v>
      </c>
      <c r="AP34">
        <v>3</v>
      </c>
      <c r="AQ34">
        <v>2</v>
      </c>
      <c r="AR34" t="s">
        <v>95</v>
      </c>
      <c r="AS34">
        <v>3</v>
      </c>
      <c r="AT34">
        <v>3</v>
      </c>
      <c r="AU34">
        <v>4</v>
      </c>
      <c r="AV34">
        <v>4</v>
      </c>
      <c r="AW34">
        <v>4</v>
      </c>
      <c r="AX34" t="s">
        <v>94</v>
      </c>
      <c r="AY34">
        <v>3</v>
      </c>
      <c r="AZ34">
        <v>3</v>
      </c>
      <c r="BA34">
        <v>3</v>
      </c>
      <c r="BB34">
        <v>3</v>
      </c>
      <c r="BC34">
        <v>3</v>
      </c>
      <c r="BD34">
        <v>4</v>
      </c>
      <c r="BE34">
        <v>3</v>
      </c>
      <c r="BF34">
        <v>3</v>
      </c>
      <c r="BG34">
        <v>2</v>
      </c>
      <c r="BH34">
        <v>2</v>
      </c>
      <c r="BI34">
        <v>3</v>
      </c>
      <c r="BJ34">
        <v>4</v>
      </c>
      <c r="BK34">
        <v>3</v>
      </c>
      <c r="BL34">
        <v>2</v>
      </c>
      <c r="BM34">
        <v>3</v>
      </c>
      <c r="BO34">
        <v>226.45</v>
      </c>
      <c r="BP34">
        <v>98.11</v>
      </c>
      <c r="CC34">
        <v>128.34</v>
      </c>
    </row>
    <row r="35" spans="1:81" x14ac:dyDescent="0.35">
      <c r="A35">
        <v>308</v>
      </c>
      <c r="B35" t="s">
        <v>232</v>
      </c>
      <c r="C35">
        <v>2</v>
      </c>
      <c r="D35" t="s">
        <v>86</v>
      </c>
      <c r="E35">
        <v>1305644712</v>
      </c>
      <c r="F35" t="s">
        <v>233</v>
      </c>
      <c r="G35" t="s">
        <v>232</v>
      </c>
      <c r="H35" t="s">
        <v>88</v>
      </c>
      <c r="I35" t="s">
        <v>89</v>
      </c>
      <c r="J35" t="s">
        <v>89</v>
      </c>
      <c r="K35" t="s">
        <v>89</v>
      </c>
      <c r="L35" t="s">
        <v>89</v>
      </c>
      <c r="M35" t="s">
        <v>88</v>
      </c>
      <c r="O35" t="s">
        <v>89</v>
      </c>
      <c r="P35" t="s">
        <v>234</v>
      </c>
      <c r="Q35" t="s">
        <v>139</v>
      </c>
      <c r="S35" t="s">
        <v>88</v>
      </c>
      <c r="T35" t="s">
        <v>88</v>
      </c>
      <c r="U35" t="s">
        <v>88</v>
      </c>
      <c r="V35" t="s">
        <v>89</v>
      </c>
      <c r="W35" t="s">
        <v>88</v>
      </c>
      <c r="X35" t="s">
        <v>89</v>
      </c>
      <c r="Y35" t="s">
        <v>89</v>
      </c>
      <c r="AG35" t="s">
        <v>235</v>
      </c>
      <c r="AH35" t="s">
        <v>108</v>
      </c>
      <c r="AI35">
        <v>3</v>
      </c>
      <c r="AJ35">
        <v>3</v>
      </c>
      <c r="AK35">
        <v>3</v>
      </c>
      <c r="AL35">
        <v>3</v>
      </c>
      <c r="AM35" t="s">
        <v>94</v>
      </c>
      <c r="AN35">
        <v>4</v>
      </c>
      <c r="AO35">
        <v>4</v>
      </c>
      <c r="AP35">
        <v>4</v>
      </c>
      <c r="AQ35">
        <v>4</v>
      </c>
      <c r="AR35">
        <v>4</v>
      </c>
      <c r="AS35">
        <v>4</v>
      </c>
      <c r="AT35">
        <v>2</v>
      </c>
      <c r="AU35" t="s">
        <v>94</v>
      </c>
      <c r="AV35" t="s">
        <v>94</v>
      </c>
      <c r="AW35" t="s">
        <v>94</v>
      </c>
      <c r="AX35" t="s">
        <v>94</v>
      </c>
      <c r="AY35">
        <v>3</v>
      </c>
      <c r="AZ35" t="s">
        <v>94</v>
      </c>
      <c r="BA35">
        <v>3</v>
      </c>
      <c r="BB35" t="s">
        <v>94</v>
      </c>
      <c r="BC35">
        <v>3</v>
      </c>
      <c r="BD35" t="s">
        <v>94</v>
      </c>
      <c r="BE35" t="s">
        <v>95</v>
      </c>
      <c r="BF35" t="s">
        <v>94</v>
      </c>
      <c r="BG35">
        <v>4</v>
      </c>
      <c r="BH35" t="s">
        <v>96</v>
      </c>
      <c r="BI35">
        <v>3</v>
      </c>
      <c r="BJ35" t="s">
        <v>96</v>
      </c>
      <c r="BK35" t="s">
        <v>96</v>
      </c>
      <c r="BL35" t="s">
        <v>96</v>
      </c>
      <c r="BM35" t="s">
        <v>96</v>
      </c>
      <c r="BN35" t="s">
        <v>236</v>
      </c>
      <c r="BO35">
        <v>1018.5</v>
      </c>
      <c r="BP35">
        <v>470.58</v>
      </c>
      <c r="CC35">
        <v>547.91999999999996</v>
      </c>
    </row>
    <row r="36" spans="1:81" x14ac:dyDescent="0.35">
      <c r="A36">
        <v>309</v>
      </c>
      <c r="B36" t="s">
        <v>237</v>
      </c>
      <c r="C36">
        <v>2</v>
      </c>
      <c r="D36" t="s">
        <v>86</v>
      </c>
      <c r="E36">
        <v>1394122201</v>
      </c>
      <c r="F36" t="s">
        <v>238</v>
      </c>
      <c r="G36" t="s">
        <v>237</v>
      </c>
      <c r="H36" t="s">
        <v>88</v>
      </c>
      <c r="I36" t="s">
        <v>89</v>
      </c>
      <c r="J36" t="s">
        <v>89</v>
      </c>
      <c r="K36" t="s">
        <v>89</v>
      </c>
      <c r="L36" t="s">
        <v>89</v>
      </c>
      <c r="M36" t="s">
        <v>88</v>
      </c>
      <c r="O36" t="s">
        <v>89</v>
      </c>
      <c r="P36" t="s">
        <v>239</v>
      </c>
      <c r="Q36" t="s">
        <v>90</v>
      </c>
      <c r="S36" t="s">
        <v>88</v>
      </c>
      <c r="T36" t="s">
        <v>88</v>
      </c>
      <c r="U36" t="s">
        <v>89</v>
      </c>
      <c r="V36" t="s">
        <v>89</v>
      </c>
      <c r="W36" t="s">
        <v>88</v>
      </c>
      <c r="X36" t="s">
        <v>89</v>
      </c>
      <c r="Y36" t="s">
        <v>89</v>
      </c>
      <c r="AH36" t="s">
        <v>108</v>
      </c>
      <c r="AI36" t="s">
        <v>115</v>
      </c>
      <c r="AJ36" t="s">
        <v>115</v>
      </c>
      <c r="AK36">
        <v>3</v>
      </c>
      <c r="AL36" t="s">
        <v>109</v>
      </c>
      <c r="AM36">
        <v>3</v>
      </c>
      <c r="AN36">
        <v>2</v>
      </c>
      <c r="AO36">
        <v>3</v>
      </c>
      <c r="AP36">
        <v>2</v>
      </c>
      <c r="AQ36">
        <v>3</v>
      </c>
      <c r="AR36">
        <v>3</v>
      </c>
      <c r="AS36" t="s">
        <v>95</v>
      </c>
      <c r="AT36" t="s">
        <v>95</v>
      </c>
      <c r="AU36">
        <v>3</v>
      </c>
      <c r="AV36">
        <v>3</v>
      </c>
      <c r="AW36">
        <v>3</v>
      </c>
      <c r="AX36" t="s">
        <v>94</v>
      </c>
      <c r="AY36">
        <v>3</v>
      </c>
      <c r="AZ36">
        <v>3</v>
      </c>
      <c r="BA36">
        <v>3</v>
      </c>
      <c r="BB36">
        <v>3</v>
      </c>
      <c r="BC36" t="s">
        <v>94</v>
      </c>
      <c r="BD36" t="s">
        <v>95</v>
      </c>
      <c r="BE36">
        <v>3</v>
      </c>
      <c r="BF36" t="s">
        <v>94</v>
      </c>
      <c r="BG36">
        <v>4</v>
      </c>
      <c r="BH36">
        <v>4</v>
      </c>
      <c r="BI36">
        <v>4</v>
      </c>
      <c r="BJ36">
        <v>3</v>
      </c>
      <c r="BK36">
        <v>4</v>
      </c>
      <c r="BL36">
        <v>4</v>
      </c>
      <c r="BM36">
        <v>4</v>
      </c>
      <c r="BO36">
        <v>169.92</v>
      </c>
      <c r="BP36">
        <v>66.66</v>
      </c>
      <c r="CC36">
        <v>103.26</v>
      </c>
    </row>
    <row r="37" spans="1:81" x14ac:dyDescent="0.35">
      <c r="A37">
        <v>310</v>
      </c>
      <c r="B37" t="s">
        <v>240</v>
      </c>
      <c r="C37">
        <v>2</v>
      </c>
      <c r="D37" t="s">
        <v>86</v>
      </c>
      <c r="E37">
        <v>2041168714</v>
      </c>
      <c r="F37" t="s">
        <v>241</v>
      </c>
      <c r="G37" t="s">
        <v>240</v>
      </c>
      <c r="H37" t="s">
        <v>88</v>
      </c>
      <c r="I37" t="s">
        <v>89</v>
      </c>
      <c r="J37" t="s">
        <v>89</v>
      </c>
      <c r="K37" t="s">
        <v>89</v>
      </c>
      <c r="L37" t="s">
        <v>88</v>
      </c>
      <c r="M37" t="s">
        <v>88</v>
      </c>
      <c r="O37" t="s">
        <v>88</v>
      </c>
      <c r="Q37" t="s">
        <v>105</v>
      </c>
      <c r="R37" t="s">
        <v>91</v>
      </c>
      <c r="S37" t="s">
        <v>88</v>
      </c>
      <c r="T37" t="s">
        <v>89</v>
      </c>
      <c r="U37" t="s">
        <v>88</v>
      </c>
      <c r="V37" t="s">
        <v>89</v>
      </c>
      <c r="W37" t="s">
        <v>88</v>
      </c>
      <c r="X37" t="s">
        <v>88</v>
      </c>
      <c r="Y37" t="s">
        <v>88</v>
      </c>
      <c r="AD37">
        <v>3</v>
      </c>
      <c r="AE37">
        <v>3</v>
      </c>
      <c r="AF37" t="s">
        <v>92</v>
      </c>
      <c r="AG37" t="s">
        <v>242</v>
      </c>
      <c r="AH37" t="s">
        <v>108</v>
      </c>
      <c r="AI37">
        <v>2</v>
      </c>
      <c r="AJ37">
        <v>3</v>
      </c>
      <c r="AK37">
        <v>3</v>
      </c>
      <c r="AL37" t="s">
        <v>109</v>
      </c>
      <c r="AM37" t="s">
        <v>94</v>
      </c>
      <c r="AN37" t="s">
        <v>94</v>
      </c>
      <c r="AO37">
        <v>4</v>
      </c>
      <c r="AP37">
        <v>3</v>
      </c>
      <c r="AQ37">
        <v>3</v>
      </c>
      <c r="AR37">
        <v>3</v>
      </c>
      <c r="AS37">
        <v>3</v>
      </c>
      <c r="AT37">
        <v>2</v>
      </c>
      <c r="AU37">
        <v>4</v>
      </c>
      <c r="AV37" t="s">
        <v>94</v>
      </c>
      <c r="AW37">
        <v>4</v>
      </c>
      <c r="AX37">
        <v>4</v>
      </c>
      <c r="AY37" t="s">
        <v>94</v>
      </c>
      <c r="AZ37" t="s">
        <v>94</v>
      </c>
      <c r="BA37" t="s">
        <v>94</v>
      </c>
      <c r="BB37" t="s">
        <v>94</v>
      </c>
      <c r="BC37" t="s">
        <v>94</v>
      </c>
      <c r="BD37" t="s">
        <v>94</v>
      </c>
      <c r="BE37">
        <v>4</v>
      </c>
      <c r="BF37" t="s">
        <v>94</v>
      </c>
      <c r="BG37">
        <v>4</v>
      </c>
      <c r="BH37" t="s">
        <v>96</v>
      </c>
      <c r="BI37" t="s">
        <v>96</v>
      </c>
      <c r="BJ37" t="s">
        <v>96</v>
      </c>
      <c r="BK37" t="s">
        <v>96</v>
      </c>
      <c r="BL37" t="s">
        <v>96</v>
      </c>
      <c r="BM37" t="s">
        <v>96</v>
      </c>
      <c r="BN37" t="s">
        <v>243</v>
      </c>
      <c r="BO37">
        <v>249.24</v>
      </c>
      <c r="BP37">
        <v>114.07</v>
      </c>
      <c r="CC37">
        <v>135.16999999999999</v>
      </c>
    </row>
    <row r="38" spans="1:81" x14ac:dyDescent="0.35">
      <c r="A38">
        <v>311</v>
      </c>
      <c r="B38" t="s">
        <v>244</v>
      </c>
      <c r="C38">
        <v>2</v>
      </c>
      <c r="D38" t="s">
        <v>86</v>
      </c>
      <c r="E38">
        <v>1804913330</v>
      </c>
      <c r="F38" t="s">
        <v>245</v>
      </c>
      <c r="G38" t="s">
        <v>244</v>
      </c>
      <c r="H38" t="s">
        <v>89</v>
      </c>
      <c r="I38" t="s">
        <v>89</v>
      </c>
      <c r="J38" t="s">
        <v>89</v>
      </c>
      <c r="K38" t="s">
        <v>89</v>
      </c>
      <c r="L38" t="s">
        <v>88</v>
      </c>
      <c r="M38" t="s">
        <v>88</v>
      </c>
      <c r="O38" t="s">
        <v>88</v>
      </c>
      <c r="Q38" t="s">
        <v>105</v>
      </c>
      <c r="R38" t="s">
        <v>91</v>
      </c>
      <c r="S38" t="s">
        <v>89</v>
      </c>
      <c r="T38" t="s">
        <v>88</v>
      </c>
      <c r="U38" t="s">
        <v>89</v>
      </c>
      <c r="V38" t="s">
        <v>89</v>
      </c>
      <c r="W38" t="s">
        <v>88</v>
      </c>
      <c r="X38" t="s">
        <v>89</v>
      </c>
      <c r="Y38" t="s">
        <v>89</v>
      </c>
      <c r="Z38" t="s">
        <v>246</v>
      </c>
      <c r="AD38">
        <v>3</v>
      </c>
      <c r="AE38">
        <v>4</v>
      </c>
      <c r="AF38">
        <v>4</v>
      </c>
      <c r="AH38" t="s">
        <v>149</v>
      </c>
      <c r="AI38">
        <v>3</v>
      </c>
      <c r="AJ38">
        <v>4</v>
      </c>
      <c r="AK38">
        <v>4</v>
      </c>
      <c r="AL38" t="s">
        <v>109</v>
      </c>
      <c r="AM38">
        <v>4</v>
      </c>
      <c r="AN38">
        <v>3</v>
      </c>
      <c r="AO38">
        <v>2</v>
      </c>
      <c r="AP38">
        <v>2</v>
      </c>
      <c r="AQ38">
        <v>2</v>
      </c>
      <c r="AR38">
        <v>2</v>
      </c>
      <c r="AS38">
        <v>3</v>
      </c>
      <c r="AT38">
        <v>4</v>
      </c>
      <c r="AU38">
        <v>4</v>
      </c>
      <c r="AV38">
        <v>4</v>
      </c>
      <c r="AW38">
        <v>4</v>
      </c>
      <c r="AX38">
        <v>4</v>
      </c>
      <c r="AY38">
        <v>3</v>
      </c>
      <c r="AZ38">
        <v>4</v>
      </c>
      <c r="BA38">
        <v>2</v>
      </c>
      <c r="BB38">
        <v>3</v>
      </c>
      <c r="BC38">
        <v>2</v>
      </c>
      <c r="BD38">
        <v>2</v>
      </c>
      <c r="BE38">
        <v>3</v>
      </c>
      <c r="BF38">
        <v>4</v>
      </c>
      <c r="BG38">
        <v>3</v>
      </c>
      <c r="BH38">
        <v>4</v>
      </c>
      <c r="BI38">
        <v>4</v>
      </c>
      <c r="BJ38">
        <v>4</v>
      </c>
      <c r="BK38">
        <v>3</v>
      </c>
      <c r="BL38">
        <v>4</v>
      </c>
      <c r="BM38">
        <v>3</v>
      </c>
      <c r="BO38">
        <v>366.5</v>
      </c>
      <c r="BP38">
        <v>158.47</v>
      </c>
      <c r="CC38">
        <v>208.03</v>
      </c>
    </row>
    <row r="39" spans="1:81" x14ac:dyDescent="0.35">
      <c r="A39">
        <v>313</v>
      </c>
      <c r="B39" t="s">
        <v>249</v>
      </c>
      <c r="C39">
        <v>2</v>
      </c>
      <c r="D39" t="s">
        <v>86</v>
      </c>
      <c r="E39">
        <v>775109432</v>
      </c>
      <c r="F39" t="s">
        <v>250</v>
      </c>
      <c r="G39" t="s">
        <v>249</v>
      </c>
      <c r="H39" t="s">
        <v>88</v>
      </c>
      <c r="I39" t="s">
        <v>89</v>
      </c>
      <c r="J39" t="s">
        <v>89</v>
      </c>
      <c r="K39" t="s">
        <v>89</v>
      </c>
      <c r="L39" t="s">
        <v>89</v>
      </c>
      <c r="M39" t="s">
        <v>88</v>
      </c>
      <c r="O39" t="s">
        <v>89</v>
      </c>
      <c r="P39" t="s">
        <v>251</v>
      </c>
      <c r="Q39" t="s">
        <v>105</v>
      </c>
      <c r="S39" t="s">
        <v>89</v>
      </c>
      <c r="T39" t="s">
        <v>88</v>
      </c>
      <c r="U39" t="s">
        <v>89</v>
      </c>
      <c r="V39" t="s">
        <v>89</v>
      </c>
      <c r="W39" t="s">
        <v>88</v>
      </c>
      <c r="X39" t="s">
        <v>89</v>
      </c>
      <c r="Y39" t="s">
        <v>89</v>
      </c>
      <c r="AG39" t="s">
        <v>252</v>
      </c>
      <c r="AH39" t="s">
        <v>108</v>
      </c>
      <c r="AI39">
        <v>2</v>
      </c>
      <c r="AJ39">
        <v>2</v>
      </c>
      <c r="AK39">
        <v>3</v>
      </c>
      <c r="AL39" t="s">
        <v>109</v>
      </c>
      <c r="AM39" t="s">
        <v>94</v>
      </c>
      <c r="AN39">
        <v>4</v>
      </c>
      <c r="AO39">
        <v>2</v>
      </c>
      <c r="AP39">
        <v>3</v>
      </c>
      <c r="AQ39">
        <v>4</v>
      </c>
      <c r="AR39">
        <v>4</v>
      </c>
      <c r="AS39">
        <v>3</v>
      </c>
      <c r="AT39">
        <v>2</v>
      </c>
      <c r="AU39">
        <v>4</v>
      </c>
      <c r="AV39">
        <v>4</v>
      </c>
      <c r="AW39" t="s">
        <v>94</v>
      </c>
      <c r="AX39" t="s">
        <v>94</v>
      </c>
      <c r="AY39" t="s">
        <v>94</v>
      </c>
      <c r="AZ39" t="s">
        <v>94</v>
      </c>
      <c r="BA39">
        <v>3</v>
      </c>
      <c r="BB39">
        <v>4</v>
      </c>
      <c r="BC39">
        <v>3</v>
      </c>
      <c r="BD39">
        <v>3</v>
      </c>
      <c r="BE39">
        <v>2</v>
      </c>
      <c r="BF39">
        <v>3</v>
      </c>
      <c r="BG39">
        <v>4</v>
      </c>
      <c r="BH39" t="s">
        <v>96</v>
      </c>
      <c r="BI39">
        <v>4</v>
      </c>
      <c r="BJ39" t="s">
        <v>96</v>
      </c>
      <c r="BK39" t="s">
        <v>96</v>
      </c>
      <c r="BL39">
        <v>3</v>
      </c>
      <c r="BM39" t="s">
        <v>96</v>
      </c>
      <c r="BN39" t="s">
        <v>253</v>
      </c>
      <c r="BO39">
        <v>355.37</v>
      </c>
      <c r="BP39">
        <v>138.85</v>
      </c>
      <c r="CC39">
        <v>216.52</v>
      </c>
    </row>
    <row r="40" spans="1:81" x14ac:dyDescent="0.35">
      <c r="A40">
        <v>314</v>
      </c>
      <c r="B40" t="s">
        <v>254</v>
      </c>
      <c r="C40">
        <v>2</v>
      </c>
      <c r="D40" t="s">
        <v>86</v>
      </c>
      <c r="E40">
        <v>572905238</v>
      </c>
      <c r="F40" t="s">
        <v>255</v>
      </c>
      <c r="G40" t="s">
        <v>254</v>
      </c>
      <c r="H40" t="s">
        <v>88</v>
      </c>
      <c r="I40" t="s">
        <v>89</v>
      </c>
      <c r="J40" t="s">
        <v>89</v>
      </c>
      <c r="K40" t="s">
        <v>89</v>
      </c>
      <c r="L40" t="s">
        <v>88</v>
      </c>
      <c r="M40" t="s">
        <v>88</v>
      </c>
      <c r="O40" t="s">
        <v>89</v>
      </c>
      <c r="P40" t="s">
        <v>256</v>
      </c>
      <c r="Q40" t="s">
        <v>105</v>
      </c>
      <c r="S40" t="s">
        <v>89</v>
      </c>
      <c r="T40" t="s">
        <v>89</v>
      </c>
      <c r="U40" t="s">
        <v>89</v>
      </c>
      <c r="V40" t="s">
        <v>89</v>
      </c>
      <c r="W40" t="s">
        <v>88</v>
      </c>
      <c r="X40" t="s">
        <v>88</v>
      </c>
      <c r="Y40" t="s">
        <v>89</v>
      </c>
      <c r="Z40" t="s">
        <v>257</v>
      </c>
      <c r="AG40" t="s">
        <v>258</v>
      </c>
      <c r="AH40" t="s">
        <v>108</v>
      </c>
      <c r="AI40">
        <v>2</v>
      </c>
      <c r="AJ40">
        <v>3</v>
      </c>
      <c r="AK40">
        <v>4</v>
      </c>
      <c r="AL40" t="s">
        <v>109</v>
      </c>
      <c r="AM40">
        <v>4</v>
      </c>
      <c r="AN40">
        <v>4</v>
      </c>
      <c r="AO40">
        <v>2</v>
      </c>
      <c r="AP40">
        <v>3</v>
      </c>
      <c r="AQ40" t="s">
        <v>95</v>
      </c>
      <c r="AR40">
        <v>2</v>
      </c>
      <c r="AS40">
        <v>3</v>
      </c>
      <c r="AT40">
        <v>3</v>
      </c>
      <c r="AU40">
        <v>3</v>
      </c>
      <c r="AV40">
        <v>3</v>
      </c>
      <c r="AW40">
        <v>4</v>
      </c>
      <c r="AX40" t="s">
        <v>94</v>
      </c>
      <c r="AY40">
        <v>3</v>
      </c>
      <c r="AZ40">
        <v>3</v>
      </c>
      <c r="BA40">
        <v>4</v>
      </c>
      <c r="BB40">
        <v>3</v>
      </c>
      <c r="BC40">
        <v>4</v>
      </c>
      <c r="BD40">
        <v>3</v>
      </c>
      <c r="BE40">
        <v>4</v>
      </c>
      <c r="BF40" t="s">
        <v>94</v>
      </c>
      <c r="BG40">
        <v>3</v>
      </c>
      <c r="BH40">
        <v>3</v>
      </c>
      <c r="BI40">
        <v>2</v>
      </c>
      <c r="BJ40">
        <v>3</v>
      </c>
      <c r="BK40" t="s">
        <v>259</v>
      </c>
      <c r="BL40">
        <v>4</v>
      </c>
      <c r="BM40">
        <v>2</v>
      </c>
      <c r="BN40" t="s">
        <v>260</v>
      </c>
      <c r="BO40">
        <v>820.53</v>
      </c>
      <c r="BP40">
        <v>294.37</v>
      </c>
      <c r="CC40">
        <v>526.16</v>
      </c>
    </row>
    <row r="41" spans="1:81" x14ac:dyDescent="0.35">
      <c r="A41">
        <v>316</v>
      </c>
      <c r="B41" t="s">
        <v>264</v>
      </c>
      <c r="C41">
        <v>2</v>
      </c>
      <c r="D41" t="s">
        <v>86</v>
      </c>
      <c r="E41">
        <v>1385851904</v>
      </c>
      <c r="F41" t="s">
        <v>265</v>
      </c>
      <c r="G41" t="s">
        <v>264</v>
      </c>
      <c r="H41" t="s">
        <v>88</v>
      </c>
      <c r="I41" t="s">
        <v>88</v>
      </c>
      <c r="J41" t="s">
        <v>89</v>
      </c>
      <c r="K41" t="s">
        <v>89</v>
      </c>
      <c r="L41" t="s">
        <v>89</v>
      </c>
      <c r="M41" t="s">
        <v>89</v>
      </c>
      <c r="O41" t="s">
        <v>89</v>
      </c>
      <c r="P41" t="s">
        <v>266</v>
      </c>
      <c r="Q41" t="s">
        <v>90</v>
      </c>
      <c r="S41" t="s">
        <v>88</v>
      </c>
      <c r="T41" t="s">
        <v>88</v>
      </c>
      <c r="U41" t="s">
        <v>89</v>
      </c>
      <c r="V41" t="s">
        <v>89</v>
      </c>
      <c r="W41" t="s">
        <v>89</v>
      </c>
      <c r="X41" t="s">
        <v>89</v>
      </c>
      <c r="Y41" t="s">
        <v>89</v>
      </c>
      <c r="AG41" t="s">
        <v>267</v>
      </c>
      <c r="AH41" t="s">
        <v>149</v>
      </c>
      <c r="AI41">
        <v>2</v>
      </c>
      <c r="AJ41">
        <v>2</v>
      </c>
      <c r="AK41">
        <v>3</v>
      </c>
      <c r="AL41">
        <v>4</v>
      </c>
      <c r="AM41">
        <v>4</v>
      </c>
      <c r="AN41">
        <v>4</v>
      </c>
      <c r="AO41">
        <v>2</v>
      </c>
      <c r="AP41">
        <v>2</v>
      </c>
      <c r="AQ41">
        <v>3</v>
      </c>
      <c r="AR41">
        <v>2</v>
      </c>
      <c r="AS41">
        <v>4</v>
      </c>
      <c r="AT41">
        <v>4</v>
      </c>
      <c r="AU41">
        <v>4</v>
      </c>
      <c r="AV41">
        <v>4</v>
      </c>
      <c r="AW41">
        <v>4</v>
      </c>
      <c r="AX41">
        <v>4</v>
      </c>
      <c r="AY41">
        <v>3</v>
      </c>
      <c r="AZ41">
        <v>3</v>
      </c>
      <c r="BA41">
        <v>4</v>
      </c>
      <c r="BB41">
        <v>4</v>
      </c>
      <c r="BC41">
        <v>4</v>
      </c>
      <c r="BD41">
        <v>4</v>
      </c>
      <c r="BE41">
        <v>3</v>
      </c>
      <c r="BF41">
        <v>3</v>
      </c>
      <c r="BG41">
        <v>4</v>
      </c>
      <c r="BH41">
        <v>4</v>
      </c>
      <c r="BI41">
        <v>4</v>
      </c>
      <c r="BJ41">
        <v>4</v>
      </c>
      <c r="BK41">
        <v>4</v>
      </c>
      <c r="BL41">
        <v>4</v>
      </c>
      <c r="BM41">
        <v>4</v>
      </c>
      <c r="BO41">
        <v>342.36</v>
      </c>
      <c r="BP41">
        <v>223.49</v>
      </c>
      <c r="CC41">
        <v>118.87</v>
      </c>
    </row>
    <row r="42" spans="1:81" x14ac:dyDescent="0.35">
      <c r="A42">
        <v>317</v>
      </c>
      <c r="B42" t="s">
        <v>268</v>
      </c>
      <c r="C42">
        <v>2</v>
      </c>
      <c r="D42" t="s">
        <v>86</v>
      </c>
      <c r="E42">
        <v>980106541</v>
      </c>
      <c r="F42" t="s">
        <v>269</v>
      </c>
      <c r="G42" t="s">
        <v>268</v>
      </c>
      <c r="H42" t="s">
        <v>88</v>
      </c>
      <c r="I42" t="s">
        <v>88</v>
      </c>
      <c r="J42" t="s">
        <v>89</v>
      </c>
      <c r="K42" t="s">
        <v>89</v>
      </c>
      <c r="L42" t="s">
        <v>88</v>
      </c>
      <c r="M42" t="s">
        <v>88</v>
      </c>
      <c r="O42" t="s">
        <v>89</v>
      </c>
      <c r="P42" t="s">
        <v>270</v>
      </c>
      <c r="Q42" t="s">
        <v>105</v>
      </c>
      <c r="S42" t="s">
        <v>88</v>
      </c>
      <c r="T42" t="s">
        <v>88</v>
      </c>
      <c r="U42" t="s">
        <v>89</v>
      </c>
      <c r="V42" t="s">
        <v>89</v>
      </c>
      <c r="W42" t="s">
        <v>88</v>
      </c>
      <c r="X42" t="s">
        <v>88</v>
      </c>
      <c r="Y42" t="s">
        <v>89</v>
      </c>
      <c r="AH42" t="s">
        <v>108</v>
      </c>
      <c r="AI42">
        <v>3</v>
      </c>
      <c r="AJ42">
        <v>2</v>
      </c>
      <c r="AK42">
        <v>4</v>
      </c>
      <c r="AL42">
        <v>3</v>
      </c>
      <c r="AM42">
        <v>3</v>
      </c>
      <c r="AN42">
        <v>2</v>
      </c>
      <c r="AO42">
        <v>4</v>
      </c>
      <c r="AP42">
        <v>3</v>
      </c>
      <c r="AQ42">
        <v>4</v>
      </c>
      <c r="AR42">
        <v>2</v>
      </c>
      <c r="AS42">
        <v>3</v>
      </c>
      <c r="AT42">
        <v>3</v>
      </c>
      <c r="AU42">
        <v>4</v>
      </c>
      <c r="AV42">
        <v>3</v>
      </c>
      <c r="AW42">
        <v>4</v>
      </c>
      <c r="AX42">
        <v>3</v>
      </c>
      <c r="AY42">
        <v>4</v>
      </c>
      <c r="AZ42" t="s">
        <v>95</v>
      </c>
      <c r="BA42">
        <v>3</v>
      </c>
      <c r="BB42">
        <v>4</v>
      </c>
      <c r="BC42">
        <v>4</v>
      </c>
      <c r="BD42">
        <v>3</v>
      </c>
      <c r="BE42">
        <v>4</v>
      </c>
      <c r="BF42" t="s">
        <v>94</v>
      </c>
      <c r="BG42" t="s">
        <v>96</v>
      </c>
      <c r="BH42">
        <v>3</v>
      </c>
      <c r="BI42" t="s">
        <v>96</v>
      </c>
      <c r="BJ42" t="s">
        <v>96</v>
      </c>
      <c r="BK42" t="s">
        <v>259</v>
      </c>
      <c r="BL42" t="s">
        <v>96</v>
      </c>
      <c r="BM42" t="s">
        <v>96</v>
      </c>
      <c r="BN42" t="s">
        <v>271</v>
      </c>
      <c r="BO42">
        <v>172.26</v>
      </c>
      <c r="BP42">
        <v>49.27</v>
      </c>
      <c r="CC42">
        <v>122.99</v>
      </c>
    </row>
    <row r="43" spans="1:81" x14ac:dyDescent="0.35">
      <c r="A43">
        <v>318</v>
      </c>
      <c r="B43" t="s">
        <v>272</v>
      </c>
      <c r="C43">
        <v>2</v>
      </c>
      <c r="D43" t="s">
        <v>86</v>
      </c>
      <c r="E43">
        <v>1463380841</v>
      </c>
      <c r="F43" t="s">
        <v>273</v>
      </c>
      <c r="G43" t="s">
        <v>272</v>
      </c>
      <c r="H43" t="s">
        <v>88</v>
      </c>
      <c r="I43" t="s">
        <v>89</v>
      </c>
      <c r="J43" t="s">
        <v>89</v>
      </c>
      <c r="K43" t="s">
        <v>89</v>
      </c>
      <c r="L43" t="s">
        <v>88</v>
      </c>
      <c r="M43" t="s">
        <v>88</v>
      </c>
      <c r="O43" t="s">
        <v>89</v>
      </c>
      <c r="P43" t="s">
        <v>274</v>
      </c>
      <c r="Q43" t="s">
        <v>105</v>
      </c>
      <c r="S43" t="s">
        <v>89</v>
      </c>
      <c r="T43" t="s">
        <v>89</v>
      </c>
      <c r="U43" t="s">
        <v>89</v>
      </c>
      <c r="V43" t="s">
        <v>89</v>
      </c>
      <c r="W43" t="s">
        <v>88</v>
      </c>
      <c r="X43" t="s">
        <v>88</v>
      </c>
      <c r="Y43" t="s">
        <v>88</v>
      </c>
      <c r="AH43" t="s">
        <v>149</v>
      </c>
      <c r="AI43">
        <v>2</v>
      </c>
      <c r="AJ43">
        <v>4</v>
      </c>
      <c r="AK43">
        <v>3</v>
      </c>
      <c r="AL43" t="s">
        <v>109</v>
      </c>
      <c r="AM43">
        <v>3</v>
      </c>
      <c r="AN43">
        <v>3</v>
      </c>
      <c r="AO43" t="s">
        <v>95</v>
      </c>
      <c r="AP43">
        <v>2</v>
      </c>
      <c r="AQ43" t="s">
        <v>95</v>
      </c>
      <c r="AR43">
        <v>2</v>
      </c>
      <c r="AS43">
        <v>3</v>
      </c>
      <c r="AT43" t="s">
        <v>94</v>
      </c>
      <c r="AU43">
        <v>2</v>
      </c>
      <c r="AV43">
        <v>3</v>
      </c>
      <c r="AW43">
        <v>4</v>
      </c>
      <c r="AX43">
        <v>4</v>
      </c>
      <c r="AY43" t="s">
        <v>95</v>
      </c>
      <c r="AZ43" t="s">
        <v>95</v>
      </c>
      <c r="BA43" t="s">
        <v>95</v>
      </c>
      <c r="BB43">
        <v>2</v>
      </c>
      <c r="BC43" t="s">
        <v>95</v>
      </c>
      <c r="BD43">
        <v>2</v>
      </c>
      <c r="BE43">
        <v>2</v>
      </c>
      <c r="BF43">
        <v>2</v>
      </c>
      <c r="BG43">
        <v>3</v>
      </c>
      <c r="BH43">
        <v>4</v>
      </c>
      <c r="BI43">
        <v>4</v>
      </c>
      <c r="BJ43">
        <v>3</v>
      </c>
      <c r="BK43" t="s">
        <v>259</v>
      </c>
      <c r="BL43">
        <v>3</v>
      </c>
      <c r="BM43">
        <v>3</v>
      </c>
      <c r="BO43">
        <v>386.17</v>
      </c>
      <c r="BP43">
        <v>263.94</v>
      </c>
      <c r="CC43">
        <v>122.23</v>
      </c>
    </row>
    <row r="44" spans="1:81" x14ac:dyDescent="0.35">
      <c r="A44">
        <v>320</v>
      </c>
      <c r="B44" t="s">
        <v>276</v>
      </c>
      <c r="C44">
        <v>2</v>
      </c>
      <c r="D44" t="s">
        <v>86</v>
      </c>
      <c r="E44">
        <v>1430333159</v>
      </c>
      <c r="F44" t="s">
        <v>277</v>
      </c>
      <c r="G44" t="s">
        <v>276</v>
      </c>
      <c r="H44" t="s">
        <v>88</v>
      </c>
      <c r="I44" t="s">
        <v>88</v>
      </c>
      <c r="J44" t="s">
        <v>89</v>
      </c>
      <c r="K44" t="s">
        <v>89</v>
      </c>
      <c r="L44" t="s">
        <v>88</v>
      </c>
      <c r="M44" t="s">
        <v>88</v>
      </c>
      <c r="O44" t="s">
        <v>89</v>
      </c>
      <c r="P44" t="s">
        <v>278</v>
      </c>
      <c r="Q44" t="s">
        <v>105</v>
      </c>
      <c r="S44" t="s">
        <v>89</v>
      </c>
      <c r="T44" t="s">
        <v>89</v>
      </c>
      <c r="U44" t="s">
        <v>89</v>
      </c>
      <c r="V44" t="s">
        <v>89</v>
      </c>
      <c r="W44" t="s">
        <v>89</v>
      </c>
      <c r="X44" t="s">
        <v>89</v>
      </c>
      <c r="Y44" t="s">
        <v>89</v>
      </c>
      <c r="Z44" t="s">
        <v>279</v>
      </c>
      <c r="AG44" t="s">
        <v>280</v>
      </c>
      <c r="AH44" t="s">
        <v>108</v>
      </c>
      <c r="AI44" t="s">
        <v>115</v>
      </c>
      <c r="AJ44">
        <v>3</v>
      </c>
      <c r="AK44">
        <v>3</v>
      </c>
      <c r="AL44" t="s">
        <v>109</v>
      </c>
      <c r="AM44">
        <v>4</v>
      </c>
      <c r="AN44" t="s">
        <v>94</v>
      </c>
      <c r="AO44">
        <v>4</v>
      </c>
      <c r="AP44" t="s">
        <v>94</v>
      </c>
      <c r="AQ44">
        <v>4</v>
      </c>
      <c r="AR44" t="s">
        <v>94</v>
      </c>
      <c r="AS44">
        <v>2</v>
      </c>
      <c r="AT44" t="s">
        <v>95</v>
      </c>
      <c r="AU44">
        <v>4</v>
      </c>
      <c r="AV44" t="s">
        <v>94</v>
      </c>
      <c r="AW44">
        <v>3</v>
      </c>
      <c r="AX44">
        <v>3</v>
      </c>
      <c r="AY44" t="s">
        <v>94</v>
      </c>
      <c r="AZ44" t="s">
        <v>94</v>
      </c>
      <c r="BA44">
        <v>3</v>
      </c>
      <c r="BB44">
        <v>2</v>
      </c>
      <c r="BC44">
        <v>3</v>
      </c>
      <c r="BD44">
        <v>3</v>
      </c>
      <c r="BE44">
        <v>4</v>
      </c>
      <c r="BF44" t="s">
        <v>94</v>
      </c>
      <c r="BG44" t="s">
        <v>96</v>
      </c>
      <c r="BH44" t="s">
        <v>96</v>
      </c>
      <c r="BI44" t="s">
        <v>96</v>
      </c>
      <c r="BJ44" t="s">
        <v>96</v>
      </c>
      <c r="BK44" t="s">
        <v>96</v>
      </c>
      <c r="BL44" t="s">
        <v>96</v>
      </c>
      <c r="BM44" t="s">
        <v>96</v>
      </c>
      <c r="BN44" t="s">
        <v>281</v>
      </c>
      <c r="BO44">
        <v>311.45</v>
      </c>
      <c r="BP44">
        <v>146.04</v>
      </c>
      <c r="CC44">
        <v>165.41</v>
      </c>
    </row>
    <row r="45" spans="1:81" x14ac:dyDescent="0.35">
      <c r="A45">
        <v>321</v>
      </c>
      <c r="B45" t="s">
        <v>282</v>
      </c>
      <c r="C45">
        <v>2</v>
      </c>
      <c r="D45" t="s">
        <v>86</v>
      </c>
      <c r="E45">
        <v>2076525219</v>
      </c>
      <c r="F45" t="s">
        <v>283</v>
      </c>
      <c r="G45" t="s">
        <v>282</v>
      </c>
      <c r="H45" t="s">
        <v>89</v>
      </c>
      <c r="I45" t="s">
        <v>89</v>
      </c>
      <c r="J45" t="s">
        <v>88</v>
      </c>
      <c r="K45" t="s">
        <v>89</v>
      </c>
      <c r="L45" t="s">
        <v>89</v>
      </c>
      <c r="M45" t="s">
        <v>89</v>
      </c>
      <c r="O45" t="s">
        <v>88</v>
      </c>
      <c r="Q45" t="s">
        <v>90</v>
      </c>
      <c r="R45" t="s">
        <v>91</v>
      </c>
      <c r="S45" t="s">
        <v>88</v>
      </c>
      <c r="T45" t="s">
        <v>88</v>
      </c>
      <c r="U45" t="s">
        <v>89</v>
      </c>
      <c r="V45" t="s">
        <v>89</v>
      </c>
      <c r="W45" t="s">
        <v>88</v>
      </c>
      <c r="X45" t="s">
        <v>88</v>
      </c>
      <c r="Y45" t="s">
        <v>89</v>
      </c>
      <c r="AD45" t="s">
        <v>131</v>
      </c>
      <c r="AE45" t="s">
        <v>92</v>
      </c>
      <c r="AF45" t="s">
        <v>131</v>
      </c>
      <c r="AH45" t="s">
        <v>93</v>
      </c>
      <c r="AI45">
        <v>2</v>
      </c>
      <c r="AJ45">
        <v>3</v>
      </c>
      <c r="AK45">
        <v>3</v>
      </c>
      <c r="AL45" t="s">
        <v>109</v>
      </c>
      <c r="AM45">
        <v>4</v>
      </c>
      <c r="AN45" t="s">
        <v>94</v>
      </c>
      <c r="AO45">
        <v>3</v>
      </c>
      <c r="AP45">
        <v>2</v>
      </c>
      <c r="AQ45">
        <v>2</v>
      </c>
      <c r="AR45">
        <v>2</v>
      </c>
      <c r="AS45">
        <v>4</v>
      </c>
      <c r="AT45" t="s">
        <v>94</v>
      </c>
      <c r="AU45">
        <v>3</v>
      </c>
      <c r="AV45">
        <v>4</v>
      </c>
      <c r="AW45">
        <v>4</v>
      </c>
      <c r="AX45" t="s">
        <v>94</v>
      </c>
      <c r="AY45">
        <v>3</v>
      </c>
      <c r="AZ45">
        <v>3</v>
      </c>
      <c r="BA45">
        <v>4</v>
      </c>
      <c r="BB45">
        <v>4</v>
      </c>
      <c r="BC45">
        <v>4</v>
      </c>
      <c r="BD45" t="s">
        <v>94</v>
      </c>
      <c r="BE45">
        <v>4</v>
      </c>
      <c r="BF45" t="s">
        <v>94</v>
      </c>
      <c r="BG45">
        <v>4</v>
      </c>
      <c r="BH45" t="s">
        <v>96</v>
      </c>
      <c r="BI45">
        <v>4</v>
      </c>
      <c r="BJ45">
        <v>4</v>
      </c>
      <c r="BK45" t="s">
        <v>96</v>
      </c>
      <c r="BL45">
        <v>4</v>
      </c>
      <c r="BM45" t="s">
        <v>96</v>
      </c>
      <c r="BO45">
        <v>314.23</v>
      </c>
      <c r="BP45">
        <v>143.38999999999999</v>
      </c>
      <c r="CC45">
        <v>170.84</v>
      </c>
    </row>
    <row r="46" spans="1:81" x14ac:dyDescent="0.35">
      <c r="A46">
        <v>322</v>
      </c>
      <c r="B46" t="s">
        <v>284</v>
      </c>
      <c r="C46">
        <v>2</v>
      </c>
      <c r="D46" t="s">
        <v>86</v>
      </c>
      <c r="E46">
        <v>381303916</v>
      </c>
      <c r="F46" t="s">
        <v>285</v>
      </c>
      <c r="G46" t="s">
        <v>284</v>
      </c>
      <c r="H46" t="s">
        <v>88</v>
      </c>
      <c r="I46" t="s">
        <v>88</v>
      </c>
      <c r="J46" t="s">
        <v>89</v>
      </c>
      <c r="K46" t="s">
        <v>89</v>
      </c>
      <c r="L46" t="s">
        <v>89</v>
      </c>
      <c r="M46" t="s">
        <v>88</v>
      </c>
      <c r="O46" t="s">
        <v>88</v>
      </c>
      <c r="Q46" t="s">
        <v>105</v>
      </c>
      <c r="R46" t="s">
        <v>89</v>
      </c>
      <c r="S46" t="s">
        <v>88</v>
      </c>
      <c r="T46" t="s">
        <v>88</v>
      </c>
      <c r="U46" t="s">
        <v>89</v>
      </c>
      <c r="V46" t="s">
        <v>89</v>
      </c>
      <c r="W46" t="s">
        <v>88</v>
      </c>
      <c r="X46" t="s">
        <v>88</v>
      </c>
      <c r="Y46" t="s">
        <v>89</v>
      </c>
      <c r="AD46" t="s">
        <v>106</v>
      </c>
      <c r="AE46" t="s">
        <v>106</v>
      </c>
      <c r="AF46" t="s">
        <v>106</v>
      </c>
      <c r="AG46" t="s">
        <v>286</v>
      </c>
      <c r="AH46" t="s">
        <v>93</v>
      </c>
      <c r="AI46">
        <v>3</v>
      </c>
      <c r="AJ46">
        <v>4</v>
      </c>
      <c r="AK46" t="s">
        <v>109</v>
      </c>
      <c r="AL46" t="s">
        <v>109</v>
      </c>
      <c r="AM46" t="s">
        <v>94</v>
      </c>
      <c r="AN46">
        <v>3</v>
      </c>
      <c r="AO46">
        <v>3</v>
      </c>
      <c r="AP46">
        <v>3</v>
      </c>
      <c r="AQ46">
        <v>2</v>
      </c>
      <c r="AR46" t="s">
        <v>95</v>
      </c>
      <c r="AS46">
        <v>4</v>
      </c>
      <c r="AT46" t="s">
        <v>94</v>
      </c>
      <c r="AU46">
        <v>4</v>
      </c>
      <c r="AV46">
        <v>3</v>
      </c>
      <c r="AW46" t="s">
        <v>94</v>
      </c>
      <c r="AX46" t="s">
        <v>94</v>
      </c>
      <c r="AY46" t="s">
        <v>94</v>
      </c>
      <c r="AZ46" t="s">
        <v>94</v>
      </c>
      <c r="BA46">
        <v>3</v>
      </c>
      <c r="BB46" t="s">
        <v>94</v>
      </c>
      <c r="BC46">
        <v>3</v>
      </c>
      <c r="BD46" t="s">
        <v>94</v>
      </c>
      <c r="BE46" t="s">
        <v>95</v>
      </c>
      <c r="BF46" t="s">
        <v>95</v>
      </c>
      <c r="BG46" t="s">
        <v>96</v>
      </c>
      <c r="BH46" t="s">
        <v>96</v>
      </c>
      <c r="BI46" t="s">
        <v>96</v>
      </c>
      <c r="BJ46" t="s">
        <v>96</v>
      </c>
      <c r="BK46">
        <v>3</v>
      </c>
      <c r="BL46" t="s">
        <v>96</v>
      </c>
      <c r="BM46">
        <v>3</v>
      </c>
      <c r="BN46" t="s">
        <v>287</v>
      </c>
      <c r="BO46">
        <v>480.31</v>
      </c>
      <c r="BP46">
        <v>124.28</v>
      </c>
      <c r="CC46">
        <v>356.03</v>
      </c>
    </row>
    <row r="48" spans="1:81" ht="13.9" x14ac:dyDescent="0.35">
      <c r="N48" s="1" t="s">
        <v>88</v>
      </c>
      <c r="O48">
        <f>COUNTIF(O2:O46,"Sí")</f>
        <v>25</v>
      </c>
      <c r="P48" s="2" t="s">
        <v>148</v>
      </c>
      <c r="Q48">
        <f>COUNTIF($Q$2:$Q$46,P48)</f>
        <v>7</v>
      </c>
      <c r="R48">
        <f>COUNTIF(R2:R46,"Sí")</f>
        <v>1</v>
      </c>
      <c r="U48">
        <f>COUNTIF(U2:U46,"Sí")</f>
        <v>6</v>
      </c>
      <c r="AG48" t="s">
        <v>108</v>
      </c>
      <c r="AH48">
        <f>COUNTIF($AH$2:$AH$46,AG48)</f>
        <v>22</v>
      </c>
    </row>
    <row r="49" spans="14:34" ht="13.9" x14ac:dyDescent="0.35">
      <c r="N49" s="1" t="s">
        <v>89</v>
      </c>
      <c r="O49">
        <f>COUNTIF(O2:O46,"No")</f>
        <v>20</v>
      </c>
      <c r="P49" s="2" t="s">
        <v>139</v>
      </c>
      <c r="Q49">
        <f t="shared" ref="Q49:Q51" si="0">COUNTIF($Q$2:$Q$46,P49)</f>
        <v>4</v>
      </c>
      <c r="R49">
        <f>COUNTIF(R2:R46,"No")</f>
        <v>6</v>
      </c>
      <c r="U49">
        <f>COUNTIF(U2:U46,"No")</f>
        <v>39</v>
      </c>
      <c r="AG49" t="s">
        <v>149</v>
      </c>
      <c r="AH49">
        <f t="shared" ref="AH49:AH50" si="1">COUNTIF($AH$2:$AH$46,AG49)</f>
        <v>15</v>
      </c>
    </row>
    <row r="50" spans="14:34" ht="13.9" x14ac:dyDescent="0.35">
      <c r="N50" s="1" t="s">
        <v>99</v>
      </c>
      <c r="P50" s="2" t="s">
        <v>90</v>
      </c>
      <c r="Q50">
        <f t="shared" si="0"/>
        <v>12</v>
      </c>
      <c r="R50">
        <f>COUNTIF(R2:R46,"Parcialmente")</f>
        <v>18</v>
      </c>
      <c r="AG50" t="s">
        <v>93</v>
      </c>
      <c r="AH50">
        <f t="shared" si="1"/>
        <v>8</v>
      </c>
    </row>
    <row r="51" spans="14:34" ht="13.9" x14ac:dyDescent="0.35">
      <c r="N51" s="1" t="s">
        <v>288</v>
      </c>
      <c r="P51" s="2" t="s">
        <v>105</v>
      </c>
      <c r="Q51">
        <f t="shared" si="0"/>
        <v>22</v>
      </c>
      <c r="R51">
        <f>COUNTBLANK(R2:R46)</f>
        <v>20</v>
      </c>
      <c r="AH51">
        <f>SUM(AH48:AH50)</f>
        <v>45</v>
      </c>
    </row>
    <row r="52" spans="14:34" ht="13.9" x14ac:dyDescent="0.35">
      <c r="N52" s="1" t="s">
        <v>289</v>
      </c>
      <c r="O52">
        <f>SUM(O48:O51)</f>
        <v>45</v>
      </c>
      <c r="Q52">
        <f>SUM(Q48:Q51)</f>
        <v>45</v>
      </c>
      <c r="R52">
        <f>SUM(R48:R51)</f>
        <v>45</v>
      </c>
      <c r="U52">
        <f>SUM(U48:U51)</f>
        <v>45</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Encuesta de ingreso a énfasis</vt:lpstr>
      <vt:lpstr>Encuesta de ingreso a énfas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Kryscia Ramírez Benavides</cp:lastModifiedBy>
  <cp:revision>0</cp:revision>
  <dcterms:created xsi:type="dcterms:W3CDTF">2023-04-26T10:13:13Z</dcterms:created>
  <dcterms:modified xsi:type="dcterms:W3CDTF">2026-04-14T00:35:01Z</dcterms:modified>
</cp:coreProperties>
</file>