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B9C693A4-2E79-4903-B0E3-5E7654455295}" xr6:coauthVersionLast="47" xr6:coauthVersionMax="47" xr10:uidLastSave="{00000000-0000-0000-0000-000000000000}"/>
  <bookViews>
    <workbookView xWindow="-98" yWindow="-98" windowWidth="23596" windowHeight="15076" tabRatio="212" firstSheet="1" activeTab="1" xr2:uid="{00000000-000D-0000-FFFF-FFFF00000000}"/>
  </bookViews>
  <sheets>
    <sheet name="Encuesta de ingreso a énfasis" sheetId="1" r:id="rId1"/>
    <sheet name="Encuesta de ingreso a énfas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3" i="2" l="1"/>
  <c r="AH14" i="2"/>
  <c r="AH12" i="2"/>
  <c r="U13" i="2"/>
  <c r="U12" i="2"/>
  <c r="R15" i="2"/>
  <c r="R14" i="2"/>
  <c r="R13" i="2"/>
  <c r="R12" i="2"/>
  <c r="Q13" i="2"/>
  <c r="Q14" i="2"/>
  <c r="Q15" i="2"/>
  <c r="Q12" i="2"/>
  <c r="O13" i="2"/>
  <c r="O12" i="2"/>
  <c r="U16" i="2" l="1"/>
  <c r="R16" i="2"/>
  <c r="O16" i="2"/>
  <c r="Q16" i="2" l="1"/>
  <c r="AH15" i="2"/>
</calcChain>
</file>

<file path=xl/sharedStrings.xml><?xml version="1.0" encoding="utf-8"?>
<sst xmlns="http://schemas.openxmlformats.org/spreadsheetml/2006/main" count="692" uniqueCount="80">
  <si>
    <t>es</t>
  </si>
  <si>
    <t>Sí</t>
  </si>
  <si>
    <t>No</t>
  </si>
  <si>
    <t>I semestre del 2do año</t>
  </si>
  <si>
    <t>Parcialmente</t>
  </si>
  <si>
    <t>No asistí</t>
  </si>
  <si>
    <t>ITI: Ingeniería de Tecnologías de la Información</t>
  </si>
  <si>
    <t>Muy alto 5</t>
  </si>
  <si>
    <t>Muy bajo 1</t>
  </si>
  <si>
    <t>He mejorado mucho: 5</t>
  </si>
  <si>
    <t>N/A</t>
  </si>
  <si>
    <t>II semestre del 2do año</t>
  </si>
  <si>
    <t>CC: Ciencias de la Computación</t>
  </si>
  <si>
    <t>Muy difícil: 5</t>
  </si>
  <si>
    <t>Muy fácil: 1</t>
  </si>
  <si>
    <t>5 - Muy útil</t>
  </si>
  <si>
    <t>II semestre del 1er año</t>
  </si>
  <si>
    <t>I semestre del 1er año</t>
  </si>
  <si>
    <t>IS: Ingeniería de Software</t>
  </si>
  <si>
    <t>No he mejorado: 1</t>
  </si>
  <si>
    <t>2023-02-07 21:51:04</t>
  </si>
  <si>
    <t>No considero que fueran poco útiles, al contrario varias de ellas me ayudaron a escoger.</t>
  </si>
  <si>
    <t>Por mi trabajo se me dificultó asistir. Además que estaba bien seguro de haber leído la información de la página web.</t>
  </si>
  <si>
    <t>Jorge Andrés Loría López</t>
  </si>
  <si>
    <t>A63265</t>
  </si>
  <si>
    <t>2023-02-07 16:17:43</t>
  </si>
  <si>
    <t>2023-02-07 16:12:05</t>
  </si>
  <si>
    <t>No los considero poco útiles, las actividades para guiar al estudiantado a escoger un énfasis que se habitue a sus gustos y habilidades me parece una buen práctica</t>
  </si>
  <si>
    <t>Tenía la idea de asistir a las actividades el siguiente semestre</t>
  </si>
  <si>
    <t>Julio Alejandro Rodríguez Salguera</t>
  </si>
  <si>
    <t>C16717</t>
  </si>
  <si>
    <t>2023-02-05 17:20:07</t>
  </si>
  <si>
    <t>2023-02-05 17:00:31</t>
  </si>
  <si>
    <t>No es solo una opinión personal, sino que ha sido retroalimentada por algunos profesores y estudiantes, es que se necesita cambiar el plan de estudios de los cursos de programación, también que hay profesores que dan materia de hace años y no se han actualizado (un curso nos pusieron a ver sobre leyes fisicas y de electricidad y no era nada con el plan de estudios que se debía llevar).</t>
  </si>
  <si>
    <t>Ya tenía casi definido mi enfasis leyendo el plan de estudios y cual quería escoger</t>
  </si>
  <si>
    <t>Esteban Enrique Iglesias Vargas</t>
  </si>
  <si>
    <t>C03913</t>
  </si>
  <si>
    <t>2023-02-05 12:09:52</t>
  </si>
  <si>
    <t>2023-02-05 12:00:17</t>
  </si>
  <si>
    <t>Siento que hay materia que está mejor ya en un énfasis de la carrera como ensamblador y el proyecto ensamblador, este último además siento que está demás como curso</t>
  </si>
  <si>
    <t>No pude porque no encajaba con mi horario la mayoría de veces</t>
  </si>
  <si>
    <t>Carlos Antonio Sánchez Blanco</t>
  </si>
  <si>
    <t>C17226</t>
  </si>
  <si>
    <t>2023-02-04 22:09:44</t>
  </si>
  <si>
    <t>2023-02-04 22:01:12</t>
  </si>
  <si>
    <t>No me considero malo en esas aptitudes, sin embargo su mejora ha sido bastante baja en la universidad</t>
  </si>
  <si>
    <t>Por lo mencionado por los profesores, no parecía muy planeado y el mayor argumento que mencionaron fue que no tenía mucha importancia porque era una "pincelada"</t>
  </si>
  <si>
    <t>Kenneth Daniel Villalobos Solís</t>
  </si>
  <si>
    <t>C18548</t>
  </si>
  <si>
    <t>2023-02-03 09:24:12</t>
  </si>
  <si>
    <t>2023-02-03 08:56:14</t>
  </si>
  <si>
    <t>El segundo semestre del segundo año es muy difícil de llevar en bloque completo, lo que hace que bastantes personas opten por llevar un curso en verano, pero no se puede elegir énfasis en verano.</t>
  </si>
  <si>
    <t>A mí me resutaron útiles, personalmente</t>
  </si>
  <si>
    <t>Alexander Sánchez Zamora</t>
  </si>
  <si>
    <t>C17325</t>
  </si>
  <si>
    <t>2023-02-03 08:38:39</t>
  </si>
  <si>
    <t>2023-02-03 08:24:21</t>
  </si>
  <si>
    <t>No hicieron en verano y no estuve al tanto de las fechas en semestres anteriores</t>
  </si>
  <si>
    <t>Geancarlo Rivera Hernández</t>
  </si>
  <si>
    <t>C06516</t>
  </si>
  <si>
    <t>2023-02-03 08:55:09</t>
  </si>
  <si>
    <t>2023-02-03 08:24:03</t>
  </si>
  <si>
    <t>En las actividades anteriores la universidad no ha influido, son propias de mi persona.</t>
  </si>
  <si>
    <t>Ya tenia mi decisión pensada</t>
  </si>
  <si>
    <t>Porque no hicieron</t>
  </si>
  <si>
    <t>Omar Camacho Calvo</t>
  </si>
  <si>
    <t>C11476</t>
  </si>
  <si>
    <t>2023-02-02 21:23:04</t>
  </si>
  <si>
    <t>2023-02-02 21:11:35</t>
  </si>
  <si>
    <t>Oscar Mario Fernández Jiménez</t>
  </si>
  <si>
    <t>C12840</t>
  </si>
  <si>
    <t>2023-02-02 17:42:51</t>
  </si>
  <si>
    <t>2023-02-02 17:16:51</t>
  </si>
  <si>
    <t>Daniel Van der Laat Velez</t>
  </si>
  <si>
    <t>B88144</t>
  </si>
  <si>
    <t>2023-02-02 14:15:40</t>
  </si>
  <si>
    <t>2023-02-02 13:56:51</t>
  </si>
  <si>
    <t>2023-02-02 12:54:30</t>
  </si>
  <si>
    <t>Blanco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</si>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</sst>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xf numFmtId="0" fontId="1" fillId="0" borderId="0" xfId="0" applyFont="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8"/>
  <sheetViews>
    <sheetView topLeftCell="E1" zoomScaleNormal="100" workbookViewId="0">
      <selection activeCell="H31" sqref="H31"/>
    </sheetView>
  </sheetViews>
  <sheetFormatPr baseColWidth="10" defaultRowHeight="12.75" x14ac:dyDescent="0.35"/>
  <cols>
    <col min="1" max="1" width="11.46484375"/>
    <col min="2" max="2" width="19.1328125" customWidth="1"/>
    <col min="3" max="1024" width="11.46484375"/>
  </cols>
  <sheetData>
    <row r="1" spans="1:83" x14ac:dyDescent="0.35">
      <c r="A1">
        <v>323</v>
      </c>
      <c r="C1">
        <v>0</v>
      </c>
      <c r="D1" t="s">
        <v>0</v>
      </c>
      <c r="E1">
        <v>1960895647</v>
      </c>
      <c r="F1" t="s">
        <v>77</v>
      </c>
      <c r="G1" t="s">
        <v>77</v>
      </c>
      <c r="J1" t="s">
        <v>10</v>
      </c>
      <c r="K1" t="s">
        <v>10</v>
      </c>
      <c r="L1" t="s">
        <v>10</v>
      </c>
      <c r="M1" t="s">
        <v>10</v>
      </c>
      <c r="N1" t="s">
        <v>10</v>
      </c>
      <c r="O1" t="s">
        <v>10</v>
      </c>
      <c r="Q1" t="s">
        <v>10</v>
      </c>
      <c r="U1" t="s">
        <v>10</v>
      </c>
      <c r="V1" t="s">
        <v>10</v>
      </c>
      <c r="W1" t="s">
        <v>10</v>
      </c>
      <c r="X1" t="s">
        <v>10</v>
      </c>
      <c r="Y1" t="s">
        <v>10</v>
      </c>
      <c r="Z1" t="s">
        <v>10</v>
      </c>
      <c r="AA1" t="s">
        <v>10</v>
      </c>
      <c r="BQ1">
        <v>0</v>
      </c>
    </row>
    <row r="2" spans="1:83" x14ac:dyDescent="0.35">
      <c r="A2">
        <v>324</v>
      </c>
      <c r="B2" t="s">
        <v>75</v>
      </c>
      <c r="C2">
        <v>2</v>
      </c>
      <c r="D2" t="s">
        <v>0</v>
      </c>
      <c r="E2">
        <v>1066920111</v>
      </c>
      <c r="F2" t="s">
        <v>76</v>
      </c>
      <c r="G2" t="s">
        <v>75</v>
      </c>
      <c r="H2" t="s">
        <v>74</v>
      </c>
      <c r="I2" t="s">
        <v>73</v>
      </c>
      <c r="J2" t="s">
        <v>1</v>
      </c>
      <c r="K2" t="s">
        <v>2</v>
      </c>
      <c r="L2" t="s">
        <v>1</v>
      </c>
      <c r="M2" t="s">
        <v>2</v>
      </c>
      <c r="N2" t="s">
        <v>2</v>
      </c>
      <c r="O2" t="s">
        <v>1</v>
      </c>
      <c r="Q2" t="s">
        <v>1</v>
      </c>
      <c r="S2" t="s">
        <v>17</v>
      </c>
      <c r="T2" t="s">
        <v>4</v>
      </c>
      <c r="U2" t="s">
        <v>2</v>
      </c>
      <c r="V2" t="s">
        <v>1</v>
      </c>
      <c r="W2" t="s">
        <v>2</v>
      </c>
      <c r="X2" t="s">
        <v>2</v>
      </c>
      <c r="Y2" t="s">
        <v>1</v>
      </c>
      <c r="Z2" t="s">
        <v>1</v>
      </c>
      <c r="AA2" t="s">
        <v>1</v>
      </c>
      <c r="AF2" t="s">
        <v>15</v>
      </c>
      <c r="AG2" t="s">
        <v>15</v>
      </c>
      <c r="AH2" t="s">
        <v>15</v>
      </c>
      <c r="AJ2" t="s">
        <v>18</v>
      </c>
      <c r="AK2">
        <v>2</v>
      </c>
      <c r="AL2">
        <v>2</v>
      </c>
      <c r="AM2">
        <v>3</v>
      </c>
      <c r="AN2">
        <v>4</v>
      </c>
      <c r="AO2">
        <v>2</v>
      </c>
      <c r="AP2">
        <v>3</v>
      </c>
      <c r="AQ2">
        <v>4</v>
      </c>
      <c r="AR2">
        <v>4</v>
      </c>
      <c r="AS2">
        <v>2</v>
      </c>
      <c r="AT2">
        <v>3</v>
      </c>
      <c r="AU2">
        <v>2</v>
      </c>
      <c r="AV2">
        <v>3</v>
      </c>
      <c r="AW2">
        <v>4</v>
      </c>
      <c r="AX2" t="s">
        <v>7</v>
      </c>
      <c r="AY2">
        <v>2</v>
      </c>
      <c r="AZ2">
        <v>2</v>
      </c>
      <c r="BA2">
        <v>3</v>
      </c>
      <c r="BB2">
        <v>3</v>
      </c>
      <c r="BC2">
        <v>3</v>
      </c>
      <c r="BD2">
        <v>2</v>
      </c>
      <c r="BE2">
        <v>3</v>
      </c>
      <c r="BF2">
        <v>3</v>
      </c>
      <c r="BG2">
        <v>3</v>
      </c>
      <c r="BH2">
        <v>3</v>
      </c>
      <c r="BI2">
        <v>4</v>
      </c>
      <c r="BJ2">
        <v>4</v>
      </c>
      <c r="BK2">
        <v>4</v>
      </c>
      <c r="BL2">
        <v>4</v>
      </c>
      <c r="BM2">
        <v>2</v>
      </c>
      <c r="BN2">
        <v>4</v>
      </c>
      <c r="BO2">
        <v>3</v>
      </c>
      <c r="BQ2">
        <v>1128.4100000000001</v>
      </c>
      <c r="BR2">
        <v>82.17</v>
      </c>
      <c r="CE2">
        <v>1046.24</v>
      </c>
    </row>
    <row r="3" spans="1:83" x14ac:dyDescent="0.35">
      <c r="A3">
        <v>325</v>
      </c>
      <c r="B3" t="s">
        <v>71</v>
      </c>
      <c r="C3">
        <v>2</v>
      </c>
      <c r="D3" t="s">
        <v>0</v>
      </c>
      <c r="E3">
        <v>1644253574</v>
      </c>
      <c r="F3" t="s">
        <v>72</v>
      </c>
      <c r="G3" t="s">
        <v>71</v>
      </c>
      <c r="H3" t="s">
        <v>70</v>
      </c>
      <c r="I3" t="s">
        <v>69</v>
      </c>
      <c r="J3" t="s">
        <v>1</v>
      </c>
      <c r="K3" t="s">
        <v>2</v>
      </c>
      <c r="L3" t="s">
        <v>2</v>
      </c>
      <c r="M3" t="s">
        <v>2</v>
      </c>
      <c r="N3" t="s">
        <v>1</v>
      </c>
      <c r="O3" t="s">
        <v>1</v>
      </c>
      <c r="Q3" t="s">
        <v>1</v>
      </c>
      <c r="S3" t="s">
        <v>16</v>
      </c>
      <c r="T3" t="s">
        <v>4</v>
      </c>
      <c r="U3" t="s">
        <v>1</v>
      </c>
      <c r="V3" t="s">
        <v>2</v>
      </c>
      <c r="W3" t="s">
        <v>2</v>
      </c>
      <c r="X3" t="s">
        <v>2</v>
      </c>
      <c r="Y3" t="s">
        <v>1</v>
      </c>
      <c r="Z3" t="s">
        <v>1</v>
      </c>
      <c r="AA3" t="s">
        <v>2</v>
      </c>
      <c r="AF3" t="s">
        <v>15</v>
      </c>
      <c r="AG3" t="s">
        <v>5</v>
      </c>
      <c r="AH3" t="s">
        <v>15</v>
      </c>
      <c r="AJ3" t="s">
        <v>12</v>
      </c>
      <c r="AK3" t="s">
        <v>14</v>
      </c>
      <c r="AL3">
        <v>2</v>
      </c>
      <c r="AM3">
        <v>3</v>
      </c>
      <c r="AN3">
        <v>4</v>
      </c>
      <c r="AO3" t="s">
        <v>7</v>
      </c>
      <c r="AP3" t="s">
        <v>7</v>
      </c>
      <c r="AQ3">
        <v>3</v>
      </c>
      <c r="AR3" t="s">
        <v>7</v>
      </c>
      <c r="AS3" t="s">
        <v>7</v>
      </c>
      <c r="AT3" t="s">
        <v>7</v>
      </c>
      <c r="AU3">
        <v>4</v>
      </c>
      <c r="AV3">
        <v>3</v>
      </c>
      <c r="AW3" t="s">
        <v>7</v>
      </c>
      <c r="AX3" t="s">
        <v>7</v>
      </c>
      <c r="AY3" t="s">
        <v>7</v>
      </c>
      <c r="AZ3" t="s">
        <v>7</v>
      </c>
      <c r="BA3">
        <v>4</v>
      </c>
      <c r="BB3">
        <v>3</v>
      </c>
      <c r="BC3">
        <v>3</v>
      </c>
      <c r="BD3">
        <v>4</v>
      </c>
      <c r="BE3" t="s">
        <v>7</v>
      </c>
      <c r="BF3" t="s">
        <v>7</v>
      </c>
      <c r="BG3" t="s">
        <v>7</v>
      </c>
      <c r="BH3" t="s">
        <v>7</v>
      </c>
      <c r="BI3" t="s">
        <v>9</v>
      </c>
      <c r="BJ3" t="s">
        <v>9</v>
      </c>
      <c r="BK3">
        <v>4</v>
      </c>
      <c r="BL3" t="s">
        <v>9</v>
      </c>
      <c r="BM3" t="s">
        <v>9</v>
      </c>
      <c r="BN3" t="s">
        <v>9</v>
      </c>
      <c r="BO3" t="s">
        <v>9</v>
      </c>
      <c r="BQ3">
        <v>1560.26</v>
      </c>
      <c r="BR3">
        <v>1378.23</v>
      </c>
      <c r="CE3">
        <v>182.03</v>
      </c>
    </row>
    <row r="4" spans="1:83" x14ac:dyDescent="0.35">
      <c r="A4">
        <v>326</v>
      </c>
      <c r="B4" t="s">
        <v>67</v>
      </c>
      <c r="C4">
        <v>2</v>
      </c>
      <c r="D4" t="s">
        <v>0</v>
      </c>
      <c r="E4">
        <v>1547021015</v>
      </c>
      <c r="F4" t="s">
        <v>68</v>
      </c>
      <c r="G4" t="s">
        <v>67</v>
      </c>
      <c r="H4" t="s">
        <v>66</v>
      </c>
      <c r="I4" t="s">
        <v>65</v>
      </c>
      <c r="J4" t="s">
        <v>2</v>
      </c>
      <c r="K4" t="s">
        <v>2</v>
      </c>
      <c r="L4" t="s">
        <v>1</v>
      </c>
      <c r="M4" t="s">
        <v>2</v>
      </c>
      <c r="N4" t="s">
        <v>2</v>
      </c>
      <c r="O4" t="s">
        <v>2</v>
      </c>
      <c r="Q4" t="s">
        <v>2</v>
      </c>
      <c r="R4" t="s">
        <v>64</v>
      </c>
      <c r="S4" t="s">
        <v>17</v>
      </c>
      <c r="U4" t="s">
        <v>2</v>
      </c>
      <c r="V4" t="s">
        <v>1</v>
      </c>
      <c r="W4" t="s">
        <v>2</v>
      </c>
      <c r="X4" t="s">
        <v>2</v>
      </c>
      <c r="Y4" t="s">
        <v>1</v>
      </c>
      <c r="Z4" t="s">
        <v>1</v>
      </c>
      <c r="AA4" t="s">
        <v>1</v>
      </c>
      <c r="AI4" t="s">
        <v>63</v>
      </c>
      <c r="AJ4" t="s">
        <v>6</v>
      </c>
      <c r="AK4" t="s">
        <v>14</v>
      </c>
      <c r="AL4">
        <v>2</v>
      </c>
      <c r="AM4" t="s">
        <v>13</v>
      </c>
      <c r="AN4">
        <v>3</v>
      </c>
      <c r="AO4">
        <v>4</v>
      </c>
      <c r="AP4" t="s">
        <v>7</v>
      </c>
      <c r="AQ4">
        <v>4</v>
      </c>
      <c r="AR4" t="s">
        <v>8</v>
      </c>
      <c r="AS4">
        <v>3</v>
      </c>
      <c r="AT4" t="s">
        <v>8</v>
      </c>
      <c r="AU4">
        <v>4</v>
      </c>
      <c r="AV4">
        <v>4</v>
      </c>
      <c r="AW4" t="s">
        <v>7</v>
      </c>
      <c r="AX4" t="s">
        <v>7</v>
      </c>
      <c r="AY4" t="s">
        <v>7</v>
      </c>
      <c r="AZ4" t="s">
        <v>7</v>
      </c>
      <c r="BA4" t="s">
        <v>7</v>
      </c>
      <c r="BB4" t="s">
        <v>7</v>
      </c>
      <c r="BC4">
        <v>4</v>
      </c>
      <c r="BD4" t="s">
        <v>8</v>
      </c>
      <c r="BE4">
        <v>4</v>
      </c>
      <c r="BF4">
        <v>3</v>
      </c>
      <c r="BG4">
        <v>2</v>
      </c>
      <c r="BH4">
        <v>4</v>
      </c>
      <c r="BI4">
        <v>4</v>
      </c>
      <c r="BJ4" t="s">
        <v>19</v>
      </c>
      <c r="BK4" t="s">
        <v>9</v>
      </c>
      <c r="BL4" t="s">
        <v>9</v>
      </c>
      <c r="BM4" t="s">
        <v>9</v>
      </c>
      <c r="BN4">
        <v>4</v>
      </c>
      <c r="BO4" t="s">
        <v>9</v>
      </c>
      <c r="BP4" t="s">
        <v>62</v>
      </c>
      <c r="BQ4">
        <v>689.1</v>
      </c>
      <c r="BR4">
        <v>396.88</v>
      </c>
      <c r="CE4">
        <v>292.22000000000003</v>
      </c>
    </row>
    <row r="5" spans="1:83" x14ac:dyDescent="0.35">
      <c r="A5">
        <v>327</v>
      </c>
      <c r="B5" t="s">
        <v>60</v>
      </c>
      <c r="C5">
        <v>2</v>
      </c>
      <c r="D5" t="s">
        <v>0</v>
      </c>
      <c r="E5">
        <v>1775525134</v>
      </c>
      <c r="F5" t="s">
        <v>61</v>
      </c>
      <c r="G5" t="s">
        <v>60</v>
      </c>
      <c r="H5" t="s">
        <v>59</v>
      </c>
      <c r="I5" t="s">
        <v>58</v>
      </c>
      <c r="J5" t="s">
        <v>1</v>
      </c>
      <c r="K5" t="s">
        <v>2</v>
      </c>
      <c r="L5" t="s">
        <v>1</v>
      </c>
      <c r="M5" t="s">
        <v>2</v>
      </c>
      <c r="N5" t="s">
        <v>2</v>
      </c>
      <c r="O5" t="s">
        <v>1</v>
      </c>
      <c r="Q5" t="s">
        <v>2</v>
      </c>
      <c r="R5" t="s">
        <v>57</v>
      </c>
      <c r="S5" t="s">
        <v>11</v>
      </c>
      <c r="U5" t="s">
        <v>2</v>
      </c>
      <c r="V5" t="s">
        <v>1</v>
      </c>
      <c r="W5" t="s">
        <v>2</v>
      </c>
      <c r="X5" t="s">
        <v>2</v>
      </c>
      <c r="Y5" t="s">
        <v>1</v>
      </c>
      <c r="Z5" t="s">
        <v>1</v>
      </c>
      <c r="AA5" t="s">
        <v>1</v>
      </c>
      <c r="AJ5" t="s">
        <v>18</v>
      </c>
      <c r="AK5">
        <v>2</v>
      </c>
      <c r="AL5">
        <v>3</v>
      </c>
      <c r="AM5">
        <v>4</v>
      </c>
      <c r="AN5" t="s">
        <v>13</v>
      </c>
      <c r="AO5">
        <v>4</v>
      </c>
      <c r="AP5">
        <v>4</v>
      </c>
      <c r="AQ5">
        <v>3</v>
      </c>
      <c r="AR5" t="s">
        <v>8</v>
      </c>
      <c r="AS5">
        <v>4</v>
      </c>
      <c r="AT5">
        <v>2</v>
      </c>
      <c r="AU5">
        <v>4</v>
      </c>
      <c r="AV5">
        <v>3</v>
      </c>
      <c r="AW5">
        <v>4</v>
      </c>
      <c r="AX5">
        <v>4</v>
      </c>
      <c r="AY5">
        <v>4</v>
      </c>
      <c r="AZ5">
        <v>4</v>
      </c>
      <c r="BA5" t="s">
        <v>7</v>
      </c>
      <c r="BB5">
        <v>4</v>
      </c>
      <c r="BC5">
        <v>4</v>
      </c>
      <c r="BD5">
        <v>4</v>
      </c>
      <c r="BE5">
        <v>4</v>
      </c>
      <c r="BF5">
        <v>3</v>
      </c>
      <c r="BG5">
        <v>3</v>
      </c>
      <c r="BH5">
        <v>3</v>
      </c>
      <c r="BI5">
        <v>3</v>
      </c>
      <c r="BJ5">
        <v>3</v>
      </c>
      <c r="BK5">
        <v>4</v>
      </c>
      <c r="BL5">
        <v>3</v>
      </c>
      <c r="BM5">
        <v>3</v>
      </c>
      <c r="BN5">
        <v>3</v>
      </c>
      <c r="BO5">
        <v>4</v>
      </c>
      <c r="BQ5">
        <v>1865.37</v>
      </c>
      <c r="BR5">
        <v>1291.03</v>
      </c>
      <c r="CE5">
        <v>574.34</v>
      </c>
    </row>
    <row r="6" spans="1:83" x14ac:dyDescent="0.35">
      <c r="A6">
        <v>328</v>
      </c>
      <c r="B6" t="s">
        <v>55</v>
      </c>
      <c r="C6">
        <v>2</v>
      </c>
      <c r="D6" t="s">
        <v>0</v>
      </c>
      <c r="E6">
        <v>1144044338</v>
      </c>
      <c r="F6" t="s">
        <v>56</v>
      </c>
      <c r="G6" t="s">
        <v>55</v>
      </c>
      <c r="H6" t="s">
        <v>54</v>
      </c>
      <c r="I6" t="s">
        <v>53</v>
      </c>
      <c r="J6" t="s">
        <v>1</v>
      </c>
      <c r="K6" t="s">
        <v>2</v>
      </c>
      <c r="L6" t="s">
        <v>2</v>
      </c>
      <c r="M6" t="s">
        <v>2</v>
      </c>
      <c r="N6" t="s">
        <v>1</v>
      </c>
      <c r="O6" t="s">
        <v>1</v>
      </c>
      <c r="Q6" t="s">
        <v>1</v>
      </c>
      <c r="S6" t="s">
        <v>11</v>
      </c>
      <c r="T6" t="s">
        <v>1</v>
      </c>
      <c r="U6" t="s">
        <v>2</v>
      </c>
      <c r="V6" t="s">
        <v>2</v>
      </c>
      <c r="W6" t="s">
        <v>1</v>
      </c>
      <c r="X6" t="s">
        <v>1</v>
      </c>
      <c r="Y6" t="s">
        <v>1</v>
      </c>
      <c r="Z6" t="s">
        <v>2</v>
      </c>
      <c r="AA6" t="s">
        <v>2</v>
      </c>
      <c r="AF6">
        <v>4</v>
      </c>
      <c r="AG6" t="s">
        <v>5</v>
      </c>
      <c r="AH6" t="s">
        <v>15</v>
      </c>
      <c r="AI6" t="s">
        <v>52</v>
      </c>
      <c r="AJ6" t="s">
        <v>12</v>
      </c>
      <c r="AK6">
        <v>3</v>
      </c>
      <c r="AL6">
        <v>3</v>
      </c>
      <c r="AM6">
        <v>4</v>
      </c>
      <c r="AN6" t="s">
        <v>13</v>
      </c>
      <c r="AO6">
        <v>3</v>
      </c>
      <c r="AP6">
        <v>3</v>
      </c>
      <c r="AQ6">
        <v>2</v>
      </c>
      <c r="AR6">
        <v>2</v>
      </c>
      <c r="AS6">
        <v>3</v>
      </c>
      <c r="AT6">
        <v>3</v>
      </c>
      <c r="AU6">
        <v>2</v>
      </c>
      <c r="AV6">
        <v>2</v>
      </c>
      <c r="AW6">
        <v>4</v>
      </c>
      <c r="AX6">
        <v>4</v>
      </c>
      <c r="AY6">
        <v>3</v>
      </c>
      <c r="AZ6" t="s">
        <v>7</v>
      </c>
      <c r="BA6">
        <v>3</v>
      </c>
      <c r="BB6">
        <v>3</v>
      </c>
      <c r="BC6">
        <v>3</v>
      </c>
      <c r="BD6">
        <v>3</v>
      </c>
      <c r="BE6">
        <v>3</v>
      </c>
      <c r="BF6">
        <v>3</v>
      </c>
      <c r="BG6">
        <v>4</v>
      </c>
      <c r="BH6" t="s">
        <v>7</v>
      </c>
      <c r="BI6">
        <v>4</v>
      </c>
      <c r="BJ6">
        <v>4</v>
      </c>
      <c r="BK6">
        <v>3</v>
      </c>
      <c r="BL6" t="s">
        <v>9</v>
      </c>
      <c r="BM6" t="s">
        <v>9</v>
      </c>
      <c r="BN6" t="s">
        <v>9</v>
      </c>
      <c r="BO6" t="s">
        <v>9</v>
      </c>
      <c r="BP6" t="s">
        <v>51</v>
      </c>
      <c r="BQ6">
        <v>858.63</v>
      </c>
      <c r="BR6">
        <v>442.85</v>
      </c>
      <c r="CE6">
        <v>415.78</v>
      </c>
    </row>
    <row r="7" spans="1:83" x14ac:dyDescent="0.35">
      <c r="A7">
        <v>329</v>
      </c>
      <c r="B7" t="s">
        <v>49</v>
      </c>
      <c r="C7">
        <v>2</v>
      </c>
      <c r="D7" t="s">
        <v>0</v>
      </c>
      <c r="E7">
        <v>1535864604</v>
      </c>
      <c r="F7" t="s">
        <v>50</v>
      </c>
      <c r="G7" t="s">
        <v>49</v>
      </c>
      <c r="H7" t="s">
        <v>48</v>
      </c>
      <c r="I7" t="s">
        <v>47</v>
      </c>
      <c r="J7" t="s">
        <v>2</v>
      </c>
      <c r="K7" t="s">
        <v>2</v>
      </c>
      <c r="L7" t="s">
        <v>1</v>
      </c>
      <c r="M7" t="s">
        <v>2</v>
      </c>
      <c r="N7" t="s">
        <v>2</v>
      </c>
      <c r="O7" t="s">
        <v>1</v>
      </c>
      <c r="Q7" t="s">
        <v>1</v>
      </c>
      <c r="S7" t="s">
        <v>11</v>
      </c>
      <c r="T7" t="s">
        <v>4</v>
      </c>
      <c r="U7" t="s">
        <v>1</v>
      </c>
      <c r="V7" t="s">
        <v>2</v>
      </c>
      <c r="W7" t="s">
        <v>1</v>
      </c>
      <c r="X7" t="s">
        <v>2</v>
      </c>
      <c r="Y7" t="s">
        <v>2</v>
      </c>
      <c r="Z7" t="s">
        <v>2</v>
      </c>
      <c r="AA7" t="s">
        <v>2</v>
      </c>
      <c r="AF7">
        <v>3</v>
      </c>
      <c r="AG7" t="s">
        <v>5</v>
      </c>
      <c r="AH7" t="s">
        <v>5</v>
      </c>
      <c r="AI7" t="s">
        <v>46</v>
      </c>
      <c r="AJ7" t="s">
        <v>12</v>
      </c>
      <c r="AK7">
        <v>3</v>
      </c>
      <c r="AL7">
        <v>2</v>
      </c>
      <c r="AM7">
        <v>3</v>
      </c>
      <c r="AN7">
        <v>3</v>
      </c>
      <c r="AO7">
        <v>4</v>
      </c>
      <c r="AP7">
        <v>3</v>
      </c>
      <c r="AQ7">
        <v>4</v>
      </c>
      <c r="AR7">
        <v>2</v>
      </c>
      <c r="AS7">
        <v>2</v>
      </c>
      <c r="AT7">
        <v>2</v>
      </c>
      <c r="AU7">
        <v>3</v>
      </c>
      <c r="AV7">
        <v>2</v>
      </c>
      <c r="AW7">
        <v>4</v>
      </c>
      <c r="AX7">
        <v>4</v>
      </c>
      <c r="AY7">
        <v>4</v>
      </c>
      <c r="AZ7">
        <v>4</v>
      </c>
      <c r="BA7">
        <v>4</v>
      </c>
      <c r="BB7">
        <v>3</v>
      </c>
      <c r="BC7">
        <v>2</v>
      </c>
      <c r="BD7">
        <v>3</v>
      </c>
      <c r="BE7">
        <v>4</v>
      </c>
      <c r="BF7">
        <v>4</v>
      </c>
      <c r="BG7">
        <v>4</v>
      </c>
      <c r="BH7">
        <v>4</v>
      </c>
      <c r="BI7">
        <v>3</v>
      </c>
      <c r="BJ7" t="s">
        <v>19</v>
      </c>
      <c r="BK7">
        <v>2</v>
      </c>
      <c r="BL7">
        <v>2</v>
      </c>
      <c r="BM7">
        <v>2</v>
      </c>
      <c r="BN7">
        <v>2</v>
      </c>
      <c r="BO7">
        <v>2</v>
      </c>
      <c r="BP7" t="s">
        <v>45</v>
      </c>
      <c r="BQ7">
        <v>1678.02</v>
      </c>
      <c r="BR7">
        <v>516.24</v>
      </c>
      <c r="CE7">
        <v>1161.78</v>
      </c>
    </row>
    <row r="8" spans="1:83" x14ac:dyDescent="0.35">
      <c r="A8">
        <v>330</v>
      </c>
      <c r="B8" t="s">
        <v>43</v>
      </c>
      <c r="C8">
        <v>2</v>
      </c>
      <c r="D8" t="s">
        <v>0</v>
      </c>
      <c r="E8">
        <v>177891595</v>
      </c>
      <c r="F8" t="s">
        <v>44</v>
      </c>
      <c r="G8" t="s">
        <v>43</v>
      </c>
      <c r="H8" t="s">
        <v>42</v>
      </c>
      <c r="I8" t="s">
        <v>41</v>
      </c>
      <c r="J8" t="s">
        <v>2</v>
      </c>
      <c r="K8" t="s">
        <v>2</v>
      </c>
      <c r="L8" t="s">
        <v>1</v>
      </c>
      <c r="M8" t="s">
        <v>2</v>
      </c>
      <c r="N8" t="s">
        <v>2</v>
      </c>
      <c r="O8" t="s">
        <v>2</v>
      </c>
      <c r="Q8" t="s">
        <v>2</v>
      </c>
      <c r="R8" t="s">
        <v>40</v>
      </c>
      <c r="S8" t="s">
        <v>11</v>
      </c>
      <c r="U8" t="s">
        <v>1</v>
      </c>
      <c r="V8" t="s">
        <v>1</v>
      </c>
      <c r="W8" t="s">
        <v>2</v>
      </c>
      <c r="X8" t="s">
        <v>2</v>
      </c>
      <c r="Y8" t="s">
        <v>1</v>
      </c>
      <c r="Z8" t="s">
        <v>1</v>
      </c>
      <c r="AA8" t="s">
        <v>1</v>
      </c>
      <c r="AJ8" t="s">
        <v>18</v>
      </c>
      <c r="AK8">
        <v>3</v>
      </c>
      <c r="AL8">
        <v>4</v>
      </c>
      <c r="AM8">
        <v>4</v>
      </c>
      <c r="AN8" t="s">
        <v>13</v>
      </c>
      <c r="AO8" t="s">
        <v>7</v>
      </c>
      <c r="AP8">
        <v>4</v>
      </c>
      <c r="AQ8">
        <v>3</v>
      </c>
      <c r="AR8">
        <v>3</v>
      </c>
      <c r="AS8" t="s">
        <v>7</v>
      </c>
      <c r="AT8" t="s">
        <v>7</v>
      </c>
      <c r="AU8">
        <v>4</v>
      </c>
      <c r="AV8" t="s">
        <v>7</v>
      </c>
      <c r="AW8">
        <v>4</v>
      </c>
      <c r="AX8">
        <v>3</v>
      </c>
      <c r="AY8">
        <v>4</v>
      </c>
      <c r="AZ8">
        <v>4</v>
      </c>
      <c r="BA8">
        <v>4</v>
      </c>
      <c r="BB8">
        <v>4</v>
      </c>
      <c r="BC8" t="s">
        <v>7</v>
      </c>
      <c r="BD8" t="s">
        <v>7</v>
      </c>
      <c r="BE8">
        <v>4</v>
      </c>
      <c r="BF8">
        <v>4</v>
      </c>
      <c r="BG8" t="s">
        <v>7</v>
      </c>
      <c r="BH8" t="s">
        <v>7</v>
      </c>
      <c r="BI8">
        <v>4</v>
      </c>
      <c r="BJ8" t="s">
        <v>9</v>
      </c>
      <c r="BK8" t="s">
        <v>9</v>
      </c>
      <c r="BL8" t="s">
        <v>9</v>
      </c>
      <c r="BM8">
        <v>3</v>
      </c>
      <c r="BN8" t="s">
        <v>9</v>
      </c>
      <c r="BO8">
        <v>4</v>
      </c>
      <c r="BP8" t="s">
        <v>39</v>
      </c>
      <c r="BQ8">
        <v>511.82</v>
      </c>
      <c r="BR8">
        <v>165.5</v>
      </c>
      <c r="CE8">
        <v>346.32</v>
      </c>
    </row>
    <row r="9" spans="1:83" x14ac:dyDescent="0.35">
      <c r="A9">
        <v>331</v>
      </c>
      <c r="B9" t="s">
        <v>37</v>
      </c>
      <c r="C9">
        <v>2</v>
      </c>
      <c r="D9" t="s">
        <v>0</v>
      </c>
      <c r="E9">
        <v>1259215370</v>
      </c>
      <c r="F9" t="s">
        <v>38</v>
      </c>
      <c r="G9" t="s">
        <v>37</v>
      </c>
      <c r="H9" t="s">
        <v>36</v>
      </c>
      <c r="I9" t="s">
        <v>35</v>
      </c>
      <c r="J9" t="s">
        <v>1</v>
      </c>
      <c r="K9" t="s">
        <v>1</v>
      </c>
      <c r="L9" t="s">
        <v>1</v>
      </c>
      <c r="M9" t="s">
        <v>2</v>
      </c>
      <c r="N9" t="s">
        <v>1</v>
      </c>
      <c r="O9" t="s">
        <v>1</v>
      </c>
      <c r="Q9" t="s">
        <v>1</v>
      </c>
      <c r="S9" t="s">
        <v>16</v>
      </c>
      <c r="T9" t="s">
        <v>4</v>
      </c>
      <c r="U9" t="s">
        <v>2</v>
      </c>
      <c r="V9" t="s">
        <v>1</v>
      </c>
      <c r="W9" t="s">
        <v>2</v>
      </c>
      <c r="X9" t="s">
        <v>2</v>
      </c>
      <c r="Y9" t="s">
        <v>1</v>
      </c>
      <c r="Z9" t="s">
        <v>2</v>
      </c>
      <c r="AA9" t="s">
        <v>2</v>
      </c>
      <c r="AF9">
        <v>3</v>
      </c>
      <c r="AG9">
        <v>3</v>
      </c>
      <c r="AH9" t="s">
        <v>5</v>
      </c>
      <c r="AI9" t="s">
        <v>34</v>
      </c>
      <c r="AJ9" t="s">
        <v>18</v>
      </c>
      <c r="AK9" t="s">
        <v>14</v>
      </c>
      <c r="AL9" t="s">
        <v>14</v>
      </c>
      <c r="AM9">
        <v>3</v>
      </c>
      <c r="AN9">
        <v>4</v>
      </c>
      <c r="AO9">
        <v>4</v>
      </c>
      <c r="AP9">
        <v>4</v>
      </c>
      <c r="AQ9">
        <v>3</v>
      </c>
      <c r="AR9">
        <v>4</v>
      </c>
      <c r="AS9">
        <v>3</v>
      </c>
      <c r="AT9">
        <v>3</v>
      </c>
      <c r="AU9">
        <v>2</v>
      </c>
      <c r="AV9">
        <v>3</v>
      </c>
      <c r="AW9">
        <v>3</v>
      </c>
      <c r="AX9">
        <v>4</v>
      </c>
      <c r="AY9">
        <v>4</v>
      </c>
      <c r="AZ9" t="s">
        <v>7</v>
      </c>
      <c r="BA9" t="s">
        <v>7</v>
      </c>
      <c r="BB9" t="s">
        <v>7</v>
      </c>
      <c r="BC9">
        <v>3</v>
      </c>
      <c r="BD9">
        <v>4</v>
      </c>
      <c r="BE9" t="s">
        <v>8</v>
      </c>
      <c r="BF9">
        <v>4</v>
      </c>
      <c r="BG9">
        <v>2</v>
      </c>
      <c r="BH9">
        <v>4</v>
      </c>
      <c r="BI9">
        <v>4</v>
      </c>
      <c r="BJ9">
        <v>4</v>
      </c>
      <c r="BK9">
        <v>4</v>
      </c>
      <c r="BL9">
        <v>3</v>
      </c>
      <c r="BM9">
        <v>3</v>
      </c>
      <c r="BN9">
        <v>4</v>
      </c>
      <c r="BO9">
        <v>4</v>
      </c>
      <c r="BP9" t="s">
        <v>33</v>
      </c>
      <c r="BQ9">
        <v>572.64</v>
      </c>
      <c r="BR9">
        <v>189.43</v>
      </c>
      <c r="CE9">
        <v>383.21</v>
      </c>
    </row>
    <row r="10" spans="1:83" x14ac:dyDescent="0.35">
      <c r="A10">
        <v>332</v>
      </c>
      <c r="B10" t="s">
        <v>31</v>
      </c>
      <c r="C10">
        <v>2</v>
      </c>
      <c r="D10" t="s">
        <v>0</v>
      </c>
      <c r="E10">
        <v>456879600</v>
      </c>
      <c r="F10" t="s">
        <v>32</v>
      </c>
      <c r="G10" t="s">
        <v>31</v>
      </c>
      <c r="H10" t="s">
        <v>30</v>
      </c>
      <c r="I10" t="s">
        <v>29</v>
      </c>
      <c r="J10" t="s">
        <v>1</v>
      </c>
      <c r="K10" t="s">
        <v>2</v>
      </c>
      <c r="L10" t="s">
        <v>1</v>
      </c>
      <c r="M10" t="s">
        <v>2</v>
      </c>
      <c r="N10" t="s">
        <v>2</v>
      </c>
      <c r="O10" t="s">
        <v>1</v>
      </c>
      <c r="Q10" t="s">
        <v>2</v>
      </c>
      <c r="R10" t="s">
        <v>28</v>
      </c>
      <c r="S10" t="s">
        <v>3</v>
      </c>
      <c r="U10" t="s">
        <v>2</v>
      </c>
      <c r="V10" t="s">
        <v>2</v>
      </c>
      <c r="W10" t="s">
        <v>2</v>
      </c>
      <c r="X10" t="s">
        <v>2</v>
      </c>
      <c r="Y10" t="s">
        <v>1</v>
      </c>
      <c r="Z10" t="s">
        <v>1</v>
      </c>
      <c r="AA10" t="s">
        <v>1</v>
      </c>
      <c r="AI10" t="s">
        <v>27</v>
      </c>
      <c r="AJ10" t="s">
        <v>18</v>
      </c>
      <c r="AK10">
        <v>4</v>
      </c>
      <c r="AL10">
        <v>3</v>
      </c>
      <c r="AM10">
        <v>4</v>
      </c>
      <c r="AN10" t="s">
        <v>13</v>
      </c>
      <c r="AO10">
        <v>3</v>
      </c>
      <c r="AP10">
        <v>3</v>
      </c>
      <c r="AQ10">
        <v>3</v>
      </c>
      <c r="AR10">
        <v>4</v>
      </c>
      <c r="AS10">
        <v>3</v>
      </c>
      <c r="AT10">
        <v>3</v>
      </c>
      <c r="AU10">
        <v>3</v>
      </c>
      <c r="AV10">
        <v>4</v>
      </c>
      <c r="AW10">
        <v>4</v>
      </c>
      <c r="AX10" t="s">
        <v>7</v>
      </c>
      <c r="AY10">
        <v>3</v>
      </c>
      <c r="AZ10">
        <v>4</v>
      </c>
      <c r="BA10">
        <v>4</v>
      </c>
      <c r="BB10">
        <v>4</v>
      </c>
      <c r="BC10">
        <v>4</v>
      </c>
      <c r="BD10" t="s">
        <v>7</v>
      </c>
      <c r="BE10">
        <v>4</v>
      </c>
      <c r="BF10">
        <v>4</v>
      </c>
      <c r="BG10">
        <v>3</v>
      </c>
      <c r="BH10">
        <v>4</v>
      </c>
      <c r="BI10">
        <v>3</v>
      </c>
      <c r="BJ10">
        <v>3</v>
      </c>
      <c r="BK10">
        <v>3</v>
      </c>
      <c r="BL10">
        <v>2</v>
      </c>
      <c r="BM10">
        <v>4</v>
      </c>
      <c r="BN10">
        <v>2</v>
      </c>
      <c r="BO10">
        <v>3</v>
      </c>
      <c r="BQ10">
        <v>1175.75</v>
      </c>
      <c r="BR10">
        <v>525.39</v>
      </c>
      <c r="CE10">
        <v>650.36</v>
      </c>
    </row>
    <row r="11" spans="1:83" x14ac:dyDescent="0.35">
      <c r="A11">
        <v>333</v>
      </c>
      <c r="B11" t="s">
        <v>25</v>
      </c>
      <c r="C11">
        <v>2</v>
      </c>
      <c r="D11" t="s">
        <v>0</v>
      </c>
      <c r="E11">
        <v>517055381</v>
      </c>
      <c r="F11" t="s">
        <v>26</v>
      </c>
      <c r="G11" t="s">
        <v>25</v>
      </c>
      <c r="H11" t="s">
        <v>24</v>
      </c>
      <c r="I11" t="s">
        <v>23</v>
      </c>
      <c r="J11" t="s">
        <v>2</v>
      </c>
      <c r="K11" t="s">
        <v>1</v>
      </c>
      <c r="L11" t="s">
        <v>2</v>
      </c>
      <c r="M11" t="s">
        <v>2</v>
      </c>
      <c r="N11" t="s">
        <v>2</v>
      </c>
      <c r="O11" t="s">
        <v>2</v>
      </c>
      <c r="Q11" t="s">
        <v>2</v>
      </c>
      <c r="R11" t="s">
        <v>22</v>
      </c>
      <c r="S11" t="s">
        <v>11</v>
      </c>
      <c r="U11" t="s">
        <v>1</v>
      </c>
      <c r="V11" t="s">
        <v>1</v>
      </c>
      <c r="W11" t="s">
        <v>2</v>
      </c>
      <c r="X11" t="s">
        <v>2</v>
      </c>
      <c r="Y11" t="s">
        <v>1</v>
      </c>
      <c r="Z11" t="s">
        <v>1</v>
      </c>
      <c r="AA11" t="s">
        <v>1</v>
      </c>
      <c r="AI11" t="s">
        <v>21</v>
      </c>
      <c r="AJ11" t="s">
        <v>18</v>
      </c>
      <c r="AK11" t="s">
        <v>13</v>
      </c>
      <c r="AL11">
        <v>4</v>
      </c>
      <c r="AM11" t="s">
        <v>13</v>
      </c>
      <c r="AN11">
        <v>3</v>
      </c>
      <c r="AO11" t="s">
        <v>7</v>
      </c>
      <c r="AP11" t="s">
        <v>7</v>
      </c>
      <c r="AQ11">
        <v>4</v>
      </c>
      <c r="AR11" t="s">
        <v>7</v>
      </c>
      <c r="AS11">
        <v>3</v>
      </c>
      <c r="AT11">
        <v>4</v>
      </c>
      <c r="AU11">
        <v>4</v>
      </c>
      <c r="AV11">
        <v>4</v>
      </c>
      <c r="AW11">
        <v>4</v>
      </c>
      <c r="AX11">
        <v>4</v>
      </c>
      <c r="AY11">
        <v>4</v>
      </c>
      <c r="AZ11" t="s">
        <v>7</v>
      </c>
      <c r="BA11">
        <v>3</v>
      </c>
      <c r="BB11">
        <v>4</v>
      </c>
      <c r="BC11">
        <v>3</v>
      </c>
      <c r="BD11">
        <v>4</v>
      </c>
      <c r="BE11">
        <v>3</v>
      </c>
      <c r="BF11">
        <v>4</v>
      </c>
      <c r="BG11">
        <v>3</v>
      </c>
      <c r="BH11" t="s">
        <v>7</v>
      </c>
      <c r="BI11" t="s">
        <v>9</v>
      </c>
      <c r="BJ11">
        <v>4</v>
      </c>
      <c r="BK11">
        <v>3</v>
      </c>
      <c r="BL11" t="s">
        <v>9</v>
      </c>
      <c r="BM11" t="s">
        <v>9</v>
      </c>
      <c r="BN11">
        <v>3</v>
      </c>
      <c r="BO11">
        <v>4</v>
      </c>
      <c r="BQ11">
        <v>338.04</v>
      </c>
      <c r="BR11">
        <v>167.75</v>
      </c>
      <c r="CE11">
        <v>170.29</v>
      </c>
    </row>
    <row r="12" spans="1:83" x14ac:dyDescent="0.35">
      <c r="A12">
        <v>334</v>
      </c>
      <c r="C12">
        <v>0</v>
      </c>
      <c r="D12" t="s">
        <v>0</v>
      </c>
      <c r="E12">
        <v>481669415</v>
      </c>
      <c r="F12" t="s">
        <v>20</v>
      </c>
      <c r="G12" t="s">
        <v>20</v>
      </c>
      <c r="J12" t="s">
        <v>10</v>
      </c>
      <c r="K12" t="s">
        <v>10</v>
      </c>
      <c r="L12" t="s">
        <v>10</v>
      </c>
      <c r="M12" t="s">
        <v>10</v>
      </c>
      <c r="N12" t="s">
        <v>10</v>
      </c>
      <c r="O12" t="s">
        <v>10</v>
      </c>
      <c r="Q12" t="s">
        <v>10</v>
      </c>
      <c r="U12" t="s">
        <v>10</v>
      </c>
      <c r="V12" t="s">
        <v>10</v>
      </c>
      <c r="W12" t="s">
        <v>10</v>
      </c>
      <c r="X12" t="s">
        <v>10</v>
      </c>
      <c r="Y12" t="s">
        <v>10</v>
      </c>
      <c r="Z12" t="s">
        <v>10</v>
      </c>
      <c r="AA12" t="s">
        <v>10</v>
      </c>
      <c r="BQ12">
        <v>0</v>
      </c>
    </row>
    <row r="14" spans="1:83" ht="13.9" x14ac:dyDescent="0.35">
      <c r="P14" s="3"/>
      <c r="R14" s="4"/>
    </row>
    <row r="15" spans="1:83" ht="13.9" x14ac:dyDescent="0.35">
      <c r="P15" s="3"/>
      <c r="R15" s="4"/>
    </row>
    <row r="16" spans="1:83" ht="13.9" x14ac:dyDescent="0.35">
      <c r="P16" s="3"/>
      <c r="R16" s="4"/>
    </row>
    <row r="17" spans="16:18" ht="13.9" x14ac:dyDescent="0.35">
      <c r="P17" s="3"/>
      <c r="R17" s="4"/>
    </row>
    <row r="18" spans="16:18" ht="13.9" x14ac:dyDescent="0.35">
      <c r="P18" s="3"/>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D4045-D1F0-40C6-B3CD-CE0EFF124480}">
  <dimension ref="A1:CC16"/>
  <sheetViews>
    <sheetView tabSelected="1" zoomScaleNormal="100" workbookViewId="0">
      <selection activeCell="I13" sqref="I13"/>
    </sheetView>
  </sheetViews>
  <sheetFormatPr baseColWidth="10" defaultRowHeight="12.75" x14ac:dyDescent="0.35"/>
  <cols>
    <col min="2" max="2" width="19.1328125" customWidth="1"/>
    <col min="16" max="16" width="16.796875" customWidth="1"/>
    <col min="17" max="17" width="22.3984375" customWidth="1"/>
    <col min="18" max="18" width="20.3984375" customWidth="1"/>
  </cols>
  <sheetData>
    <row r="1" spans="1:81" x14ac:dyDescent="0.35">
      <c r="A1">
        <v>324</v>
      </c>
      <c r="B1" t="s">
        <v>75</v>
      </c>
      <c r="C1">
        <v>2</v>
      </c>
      <c r="D1" t="s">
        <v>0</v>
      </c>
      <c r="E1">
        <v>1066920111</v>
      </c>
      <c r="F1" t="s">
        <v>76</v>
      </c>
      <c r="G1" t="s">
        <v>75</v>
      </c>
      <c r="H1" t="s">
        <v>1</v>
      </c>
      <c r="I1" t="s">
        <v>2</v>
      </c>
      <c r="J1" t="s">
        <v>1</v>
      </c>
      <c r="K1" t="s">
        <v>2</v>
      </c>
      <c r="L1" t="s">
        <v>2</v>
      </c>
      <c r="M1" t="s">
        <v>1</v>
      </c>
      <c r="O1" t="s">
        <v>1</v>
      </c>
      <c r="Q1" t="s">
        <v>17</v>
      </c>
      <c r="R1" t="s">
        <v>4</v>
      </c>
      <c r="S1" t="s">
        <v>2</v>
      </c>
      <c r="T1" t="s">
        <v>1</v>
      </c>
      <c r="U1" t="s">
        <v>2</v>
      </c>
      <c r="V1" t="s">
        <v>2</v>
      </c>
      <c r="W1" t="s">
        <v>1</v>
      </c>
      <c r="X1" t="s">
        <v>1</v>
      </c>
      <c r="Y1" t="s">
        <v>1</v>
      </c>
      <c r="AD1" t="s">
        <v>15</v>
      </c>
      <c r="AE1" t="s">
        <v>15</v>
      </c>
      <c r="AF1" t="s">
        <v>15</v>
      </c>
      <c r="AH1" t="s">
        <v>18</v>
      </c>
      <c r="AI1">
        <v>2</v>
      </c>
      <c r="AJ1">
        <v>2</v>
      </c>
      <c r="AK1">
        <v>3</v>
      </c>
      <c r="AL1">
        <v>4</v>
      </c>
      <c r="AM1">
        <v>2</v>
      </c>
      <c r="AN1">
        <v>3</v>
      </c>
      <c r="AO1">
        <v>4</v>
      </c>
      <c r="AP1">
        <v>4</v>
      </c>
      <c r="AQ1">
        <v>2</v>
      </c>
      <c r="AR1">
        <v>3</v>
      </c>
      <c r="AS1">
        <v>2</v>
      </c>
      <c r="AT1">
        <v>3</v>
      </c>
      <c r="AU1">
        <v>4</v>
      </c>
      <c r="AV1" t="s">
        <v>7</v>
      </c>
      <c r="AW1">
        <v>2</v>
      </c>
      <c r="AX1">
        <v>2</v>
      </c>
      <c r="AY1">
        <v>3</v>
      </c>
      <c r="AZ1">
        <v>3</v>
      </c>
      <c r="BA1">
        <v>3</v>
      </c>
      <c r="BB1">
        <v>2</v>
      </c>
      <c r="BC1">
        <v>3</v>
      </c>
      <c r="BD1">
        <v>3</v>
      </c>
      <c r="BE1">
        <v>3</v>
      </c>
      <c r="BF1">
        <v>3</v>
      </c>
      <c r="BG1">
        <v>4</v>
      </c>
      <c r="BH1">
        <v>4</v>
      </c>
      <c r="BI1">
        <v>4</v>
      </c>
      <c r="BJ1">
        <v>4</v>
      </c>
      <c r="BK1">
        <v>2</v>
      </c>
      <c r="BL1">
        <v>4</v>
      </c>
      <c r="BM1">
        <v>3</v>
      </c>
      <c r="BO1">
        <v>1128.4100000000001</v>
      </c>
      <c r="BP1">
        <v>82.17</v>
      </c>
      <c r="CC1">
        <v>1046.24</v>
      </c>
    </row>
    <row r="2" spans="1:81" x14ac:dyDescent="0.35">
      <c r="A2">
        <v>325</v>
      </c>
      <c r="B2" t="s">
        <v>71</v>
      </c>
      <c r="C2">
        <v>2</v>
      </c>
      <c r="D2" t="s">
        <v>0</v>
      </c>
      <c r="E2">
        <v>1644253574</v>
      </c>
      <c r="F2" t="s">
        <v>72</v>
      </c>
      <c r="G2" t="s">
        <v>71</v>
      </c>
      <c r="H2" t="s">
        <v>1</v>
      </c>
      <c r="I2" t="s">
        <v>2</v>
      </c>
      <c r="J2" t="s">
        <v>2</v>
      </c>
      <c r="K2" t="s">
        <v>2</v>
      </c>
      <c r="L2" t="s">
        <v>1</v>
      </c>
      <c r="M2" t="s">
        <v>1</v>
      </c>
      <c r="O2" t="s">
        <v>1</v>
      </c>
      <c r="Q2" t="s">
        <v>16</v>
      </c>
      <c r="R2" t="s">
        <v>4</v>
      </c>
      <c r="S2" t="s">
        <v>1</v>
      </c>
      <c r="T2" t="s">
        <v>2</v>
      </c>
      <c r="U2" t="s">
        <v>2</v>
      </c>
      <c r="V2" t="s">
        <v>2</v>
      </c>
      <c r="W2" t="s">
        <v>1</v>
      </c>
      <c r="X2" t="s">
        <v>1</v>
      </c>
      <c r="Y2" t="s">
        <v>2</v>
      </c>
      <c r="AD2" t="s">
        <v>15</v>
      </c>
      <c r="AE2" t="s">
        <v>5</v>
      </c>
      <c r="AF2" t="s">
        <v>15</v>
      </c>
      <c r="AH2" t="s">
        <v>12</v>
      </c>
      <c r="AI2" t="s">
        <v>14</v>
      </c>
      <c r="AJ2">
        <v>2</v>
      </c>
      <c r="AK2">
        <v>3</v>
      </c>
      <c r="AL2">
        <v>4</v>
      </c>
      <c r="AM2" t="s">
        <v>7</v>
      </c>
      <c r="AN2" t="s">
        <v>7</v>
      </c>
      <c r="AO2">
        <v>3</v>
      </c>
      <c r="AP2" t="s">
        <v>7</v>
      </c>
      <c r="AQ2" t="s">
        <v>7</v>
      </c>
      <c r="AR2" t="s">
        <v>7</v>
      </c>
      <c r="AS2">
        <v>4</v>
      </c>
      <c r="AT2">
        <v>3</v>
      </c>
      <c r="AU2" t="s">
        <v>7</v>
      </c>
      <c r="AV2" t="s">
        <v>7</v>
      </c>
      <c r="AW2" t="s">
        <v>7</v>
      </c>
      <c r="AX2" t="s">
        <v>7</v>
      </c>
      <c r="AY2">
        <v>4</v>
      </c>
      <c r="AZ2">
        <v>3</v>
      </c>
      <c r="BA2">
        <v>3</v>
      </c>
      <c r="BB2">
        <v>4</v>
      </c>
      <c r="BC2" t="s">
        <v>7</v>
      </c>
      <c r="BD2" t="s">
        <v>7</v>
      </c>
      <c r="BE2" t="s">
        <v>7</v>
      </c>
      <c r="BF2" t="s">
        <v>7</v>
      </c>
      <c r="BG2" t="s">
        <v>9</v>
      </c>
      <c r="BH2" t="s">
        <v>9</v>
      </c>
      <c r="BI2">
        <v>4</v>
      </c>
      <c r="BJ2" t="s">
        <v>9</v>
      </c>
      <c r="BK2" t="s">
        <v>9</v>
      </c>
      <c r="BL2" t="s">
        <v>9</v>
      </c>
      <c r="BM2" t="s">
        <v>9</v>
      </c>
      <c r="BO2">
        <v>1560.26</v>
      </c>
      <c r="BP2">
        <v>1378.23</v>
      </c>
      <c r="CC2">
        <v>182.03</v>
      </c>
    </row>
    <row r="3" spans="1:81" x14ac:dyDescent="0.35">
      <c r="A3">
        <v>326</v>
      </c>
      <c r="B3" t="s">
        <v>67</v>
      </c>
      <c r="C3">
        <v>2</v>
      </c>
      <c r="D3" t="s">
        <v>0</v>
      </c>
      <c r="E3">
        <v>1547021015</v>
      </c>
      <c r="F3" t="s">
        <v>68</v>
      </c>
      <c r="G3" t="s">
        <v>67</v>
      </c>
      <c r="H3" t="s">
        <v>2</v>
      </c>
      <c r="I3" t="s">
        <v>2</v>
      </c>
      <c r="J3" t="s">
        <v>1</v>
      </c>
      <c r="K3" t="s">
        <v>2</v>
      </c>
      <c r="L3" t="s">
        <v>2</v>
      </c>
      <c r="M3" t="s">
        <v>2</v>
      </c>
      <c r="O3" t="s">
        <v>2</v>
      </c>
      <c r="P3" t="s">
        <v>64</v>
      </c>
      <c r="Q3" t="s">
        <v>17</v>
      </c>
      <c r="S3" t="s">
        <v>2</v>
      </c>
      <c r="T3" t="s">
        <v>1</v>
      </c>
      <c r="U3" t="s">
        <v>2</v>
      </c>
      <c r="V3" t="s">
        <v>2</v>
      </c>
      <c r="W3" t="s">
        <v>1</v>
      </c>
      <c r="X3" t="s">
        <v>1</v>
      </c>
      <c r="Y3" t="s">
        <v>1</v>
      </c>
      <c r="AG3" t="s">
        <v>63</v>
      </c>
      <c r="AH3" t="s">
        <v>6</v>
      </c>
      <c r="AI3" t="s">
        <v>14</v>
      </c>
      <c r="AJ3">
        <v>2</v>
      </c>
      <c r="AK3" t="s">
        <v>13</v>
      </c>
      <c r="AL3">
        <v>3</v>
      </c>
      <c r="AM3">
        <v>4</v>
      </c>
      <c r="AN3" t="s">
        <v>7</v>
      </c>
      <c r="AO3">
        <v>4</v>
      </c>
      <c r="AP3" t="s">
        <v>8</v>
      </c>
      <c r="AQ3">
        <v>3</v>
      </c>
      <c r="AR3" t="s">
        <v>8</v>
      </c>
      <c r="AS3">
        <v>4</v>
      </c>
      <c r="AT3">
        <v>4</v>
      </c>
      <c r="AU3" t="s">
        <v>7</v>
      </c>
      <c r="AV3" t="s">
        <v>7</v>
      </c>
      <c r="AW3" t="s">
        <v>7</v>
      </c>
      <c r="AX3" t="s">
        <v>7</v>
      </c>
      <c r="AY3" t="s">
        <v>7</v>
      </c>
      <c r="AZ3" t="s">
        <v>7</v>
      </c>
      <c r="BA3">
        <v>4</v>
      </c>
      <c r="BB3" t="s">
        <v>8</v>
      </c>
      <c r="BC3">
        <v>4</v>
      </c>
      <c r="BD3">
        <v>3</v>
      </c>
      <c r="BE3">
        <v>2</v>
      </c>
      <c r="BF3">
        <v>4</v>
      </c>
      <c r="BG3">
        <v>4</v>
      </c>
      <c r="BH3" t="s">
        <v>19</v>
      </c>
      <c r="BI3" t="s">
        <v>9</v>
      </c>
      <c r="BJ3" t="s">
        <v>9</v>
      </c>
      <c r="BK3" t="s">
        <v>9</v>
      </c>
      <c r="BL3">
        <v>4</v>
      </c>
      <c r="BM3" t="s">
        <v>9</v>
      </c>
      <c r="BN3" t="s">
        <v>62</v>
      </c>
      <c r="BO3">
        <v>689.1</v>
      </c>
      <c r="BP3">
        <v>396.88</v>
      </c>
      <c r="CC3">
        <v>292.22000000000003</v>
      </c>
    </row>
    <row r="4" spans="1:81" x14ac:dyDescent="0.35">
      <c r="A4">
        <v>327</v>
      </c>
      <c r="B4" t="s">
        <v>60</v>
      </c>
      <c r="C4">
        <v>2</v>
      </c>
      <c r="D4" t="s">
        <v>0</v>
      </c>
      <c r="E4">
        <v>1775525134</v>
      </c>
      <c r="F4" t="s">
        <v>61</v>
      </c>
      <c r="G4" t="s">
        <v>60</v>
      </c>
      <c r="H4" t="s">
        <v>1</v>
      </c>
      <c r="I4" t="s">
        <v>2</v>
      </c>
      <c r="J4" t="s">
        <v>1</v>
      </c>
      <c r="K4" t="s">
        <v>2</v>
      </c>
      <c r="L4" t="s">
        <v>2</v>
      </c>
      <c r="M4" t="s">
        <v>1</v>
      </c>
      <c r="O4" t="s">
        <v>2</v>
      </c>
      <c r="P4" t="s">
        <v>57</v>
      </c>
      <c r="Q4" t="s">
        <v>11</v>
      </c>
      <c r="S4" t="s">
        <v>2</v>
      </c>
      <c r="T4" t="s">
        <v>1</v>
      </c>
      <c r="U4" t="s">
        <v>2</v>
      </c>
      <c r="V4" t="s">
        <v>2</v>
      </c>
      <c r="W4" t="s">
        <v>1</v>
      </c>
      <c r="X4" t="s">
        <v>1</v>
      </c>
      <c r="Y4" t="s">
        <v>1</v>
      </c>
      <c r="AH4" t="s">
        <v>18</v>
      </c>
      <c r="AI4">
        <v>2</v>
      </c>
      <c r="AJ4">
        <v>3</v>
      </c>
      <c r="AK4">
        <v>4</v>
      </c>
      <c r="AL4" t="s">
        <v>13</v>
      </c>
      <c r="AM4">
        <v>4</v>
      </c>
      <c r="AN4">
        <v>4</v>
      </c>
      <c r="AO4">
        <v>3</v>
      </c>
      <c r="AP4" t="s">
        <v>8</v>
      </c>
      <c r="AQ4">
        <v>4</v>
      </c>
      <c r="AR4">
        <v>2</v>
      </c>
      <c r="AS4">
        <v>4</v>
      </c>
      <c r="AT4">
        <v>3</v>
      </c>
      <c r="AU4">
        <v>4</v>
      </c>
      <c r="AV4">
        <v>4</v>
      </c>
      <c r="AW4">
        <v>4</v>
      </c>
      <c r="AX4">
        <v>4</v>
      </c>
      <c r="AY4" t="s">
        <v>7</v>
      </c>
      <c r="AZ4">
        <v>4</v>
      </c>
      <c r="BA4">
        <v>4</v>
      </c>
      <c r="BB4">
        <v>4</v>
      </c>
      <c r="BC4">
        <v>4</v>
      </c>
      <c r="BD4">
        <v>3</v>
      </c>
      <c r="BE4">
        <v>3</v>
      </c>
      <c r="BF4">
        <v>3</v>
      </c>
      <c r="BG4">
        <v>3</v>
      </c>
      <c r="BH4">
        <v>3</v>
      </c>
      <c r="BI4">
        <v>4</v>
      </c>
      <c r="BJ4">
        <v>3</v>
      </c>
      <c r="BK4">
        <v>3</v>
      </c>
      <c r="BL4">
        <v>3</v>
      </c>
      <c r="BM4">
        <v>4</v>
      </c>
      <c r="BO4">
        <v>1865.37</v>
      </c>
      <c r="BP4">
        <v>1291.03</v>
      </c>
      <c r="CC4">
        <v>574.34</v>
      </c>
    </row>
    <row r="5" spans="1:81" x14ac:dyDescent="0.35">
      <c r="A5">
        <v>328</v>
      </c>
      <c r="B5" t="s">
        <v>55</v>
      </c>
      <c r="C5">
        <v>2</v>
      </c>
      <c r="D5" t="s">
        <v>0</v>
      </c>
      <c r="E5">
        <v>1144044338</v>
      </c>
      <c r="F5" t="s">
        <v>56</v>
      </c>
      <c r="G5" t="s">
        <v>55</v>
      </c>
      <c r="H5" t="s">
        <v>1</v>
      </c>
      <c r="I5" t="s">
        <v>2</v>
      </c>
      <c r="J5" t="s">
        <v>2</v>
      </c>
      <c r="K5" t="s">
        <v>2</v>
      </c>
      <c r="L5" t="s">
        <v>1</v>
      </c>
      <c r="M5" t="s">
        <v>1</v>
      </c>
      <c r="O5" t="s">
        <v>1</v>
      </c>
      <c r="Q5" t="s">
        <v>11</v>
      </c>
      <c r="R5" t="s">
        <v>1</v>
      </c>
      <c r="S5" t="s">
        <v>2</v>
      </c>
      <c r="T5" t="s">
        <v>2</v>
      </c>
      <c r="U5" t="s">
        <v>1</v>
      </c>
      <c r="V5" t="s">
        <v>1</v>
      </c>
      <c r="W5" t="s">
        <v>1</v>
      </c>
      <c r="X5" t="s">
        <v>2</v>
      </c>
      <c r="Y5" t="s">
        <v>2</v>
      </c>
      <c r="AD5">
        <v>4</v>
      </c>
      <c r="AE5" t="s">
        <v>5</v>
      </c>
      <c r="AF5" t="s">
        <v>15</v>
      </c>
      <c r="AG5" t="s">
        <v>52</v>
      </c>
      <c r="AH5" t="s">
        <v>12</v>
      </c>
      <c r="AI5">
        <v>3</v>
      </c>
      <c r="AJ5">
        <v>3</v>
      </c>
      <c r="AK5">
        <v>4</v>
      </c>
      <c r="AL5" t="s">
        <v>13</v>
      </c>
      <c r="AM5">
        <v>3</v>
      </c>
      <c r="AN5">
        <v>3</v>
      </c>
      <c r="AO5">
        <v>2</v>
      </c>
      <c r="AP5">
        <v>2</v>
      </c>
      <c r="AQ5">
        <v>3</v>
      </c>
      <c r="AR5">
        <v>3</v>
      </c>
      <c r="AS5">
        <v>2</v>
      </c>
      <c r="AT5">
        <v>2</v>
      </c>
      <c r="AU5">
        <v>4</v>
      </c>
      <c r="AV5">
        <v>4</v>
      </c>
      <c r="AW5">
        <v>3</v>
      </c>
      <c r="AX5" t="s">
        <v>7</v>
      </c>
      <c r="AY5">
        <v>3</v>
      </c>
      <c r="AZ5">
        <v>3</v>
      </c>
      <c r="BA5">
        <v>3</v>
      </c>
      <c r="BB5">
        <v>3</v>
      </c>
      <c r="BC5">
        <v>3</v>
      </c>
      <c r="BD5">
        <v>3</v>
      </c>
      <c r="BE5">
        <v>4</v>
      </c>
      <c r="BF5" t="s">
        <v>7</v>
      </c>
      <c r="BG5">
        <v>4</v>
      </c>
      <c r="BH5">
        <v>4</v>
      </c>
      <c r="BI5">
        <v>3</v>
      </c>
      <c r="BJ5" t="s">
        <v>9</v>
      </c>
      <c r="BK5" t="s">
        <v>9</v>
      </c>
      <c r="BL5" t="s">
        <v>9</v>
      </c>
      <c r="BM5" t="s">
        <v>9</v>
      </c>
      <c r="BN5" t="s">
        <v>51</v>
      </c>
      <c r="BO5">
        <v>858.63</v>
      </c>
      <c r="BP5">
        <v>442.85</v>
      </c>
      <c r="CC5">
        <v>415.78</v>
      </c>
    </row>
    <row r="6" spans="1:81" x14ac:dyDescent="0.35">
      <c r="A6">
        <v>329</v>
      </c>
      <c r="B6" t="s">
        <v>49</v>
      </c>
      <c r="C6">
        <v>2</v>
      </c>
      <c r="D6" t="s">
        <v>0</v>
      </c>
      <c r="E6">
        <v>1535864604</v>
      </c>
      <c r="F6" t="s">
        <v>50</v>
      </c>
      <c r="G6" t="s">
        <v>49</v>
      </c>
      <c r="H6" t="s">
        <v>2</v>
      </c>
      <c r="I6" t="s">
        <v>2</v>
      </c>
      <c r="J6" t="s">
        <v>1</v>
      </c>
      <c r="K6" t="s">
        <v>2</v>
      </c>
      <c r="L6" t="s">
        <v>2</v>
      </c>
      <c r="M6" t="s">
        <v>1</v>
      </c>
      <c r="O6" t="s">
        <v>1</v>
      </c>
      <c r="Q6" t="s">
        <v>11</v>
      </c>
      <c r="R6" t="s">
        <v>4</v>
      </c>
      <c r="S6" t="s">
        <v>1</v>
      </c>
      <c r="T6" t="s">
        <v>2</v>
      </c>
      <c r="U6" t="s">
        <v>1</v>
      </c>
      <c r="V6" t="s">
        <v>2</v>
      </c>
      <c r="W6" t="s">
        <v>2</v>
      </c>
      <c r="X6" t="s">
        <v>2</v>
      </c>
      <c r="Y6" t="s">
        <v>2</v>
      </c>
      <c r="AD6">
        <v>3</v>
      </c>
      <c r="AE6" t="s">
        <v>5</v>
      </c>
      <c r="AF6" t="s">
        <v>5</v>
      </c>
      <c r="AG6" t="s">
        <v>46</v>
      </c>
      <c r="AH6" t="s">
        <v>12</v>
      </c>
      <c r="AI6">
        <v>3</v>
      </c>
      <c r="AJ6">
        <v>2</v>
      </c>
      <c r="AK6">
        <v>3</v>
      </c>
      <c r="AL6">
        <v>3</v>
      </c>
      <c r="AM6">
        <v>4</v>
      </c>
      <c r="AN6">
        <v>3</v>
      </c>
      <c r="AO6">
        <v>4</v>
      </c>
      <c r="AP6">
        <v>2</v>
      </c>
      <c r="AQ6">
        <v>2</v>
      </c>
      <c r="AR6">
        <v>2</v>
      </c>
      <c r="AS6">
        <v>3</v>
      </c>
      <c r="AT6">
        <v>2</v>
      </c>
      <c r="AU6">
        <v>4</v>
      </c>
      <c r="AV6">
        <v>4</v>
      </c>
      <c r="AW6">
        <v>4</v>
      </c>
      <c r="AX6">
        <v>4</v>
      </c>
      <c r="AY6">
        <v>4</v>
      </c>
      <c r="AZ6">
        <v>3</v>
      </c>
      <c r="BA6">
        <v>2</v>
      </c>
      <c r="BB6">
        <v>3</v>
      </c>
      <c r="BC6">
        <v>4</v>
      </c>
      <c r="BD6">
        <v>4</v>
      </c>
      <c r="BE6">
        <v>4</v>
      </c>
      <c r="BF6">
        <v>4</v>
      </c>
      <c r="BG6">
        <v>3</v>
      </c>
      <c r="BH6" t="s">
        <v>19</v>
      </c>
      <c r="BI6">
        <v>2</v>
      </c>
      <c r="BJ6">
        <v>2</v>
      </c>
      <c r="BK6">
        <v>2</v>
      </c>
      <c r="BL6">
        <v>2</v>
      </c>
      <c r="BM6">
        <v>2</v>
      </c>
      <c r="BN6" t="s">
        <v>45</v>
      </c>
      <c r="BO6">
        <v>1678.02</v>
      </c>
      <c r="BP6">
        <v>516.24</v>
      </c>
      <c r="CC6">
        <v>1161.78</v>
      </c>
    </row>
    <row r="7" spans="1:81" x14ac:dyDescent="0.35">
      <c r="A7">
        <v>330</v>
      </c>
      <c r="B7" t="s">
        <v>43</v>
      </c>
      <c r="C7">
        <v>2</v>
      </c>
      <c r="D7" t="s">
        <v>0</v>
      </c>
      <c r="E7">
        <v>177891595</v>
      </c>
      <c r="F7" t="s">
        <v>44</v>
      </c>
      <c r="G7" t="s">
        <v>43</v>
      </c>
      <c r="H7" t="s">
        <v>2</v>
      </c>
      <c r="I7" t="s">
        <v>2</v>
      </c>
      <c r="J7" t="s">
        <v>1</v>
      </c>
      <c r="K7" t="s">
        <v>2</v>
      </c>
      <c r="L7" t="s">
        <v>2</v>
      </c>
      <c r="M7" t="s">
        <v>2</v>
      </c>
      <c r="O7" t="s">
        <v>2</v>
      </c>
      <c r="P7" t="s">
        <v>40</v>
      </c>
      <c r="Q7" t="s">
        <v>11</v>
      </c>
      <c r="S7" t="s">
        <v>1</v>
      </c>
      <c r="T7" t="s">
        <v>1</v>
      </c>
      <c r="U7" t="s">
        <v>2</v>
      </c>
      <c r="V7" t="s">
        <v>2</v>
      </c>
      <c r="W7" t="s">
        <v>1</v>
      </c>
      <c r="X7" t="s">
        <v>1</v>
      </c>
      <c r="Y7" t="s">
        <v>1</v>
      </c>
      <c r="AH7" t="s">
        <v>18</v>
      </c>
      <c r="AI7">
        <v>3</v>
      </c>
      <c r="AJ7">
        <v>4</v>
      </c>
      <c r="AK7">
        <v>4</v>
      </c>
      <c r="AL7" t="s">
        <v>13</v>
      </c>
      <c r="AM7" t="s">
        <v>7</v>
      </c>
      <c r="AN7">
        <v>4</v>
      </c>
      <c r="AO7">
        <v>3</v>
      </c>
      <c r="AP7">
        <v>3</v>
      </c>
      <c r="AQ7" t="s">
        <v>7</v>
      </c>
      <c r="AR7" t="s">
        <v>7</v>
      </c>
      <c r="AS7">
        <v>4</v>
      </c>
      <c r="AT7" t="s">
        <v>7</v>
      </c>
      <c r="AU7">
        <v>4</v>
      </c>
      <c r="AV7">
        <v>3</v>
      </c>
      <c r="AW7">
        <v>4</v>
      </c>
      <c r="AX7">
        <v>4</v>
      </c>
      <c r="AY7">
        <v>4</v>
      </c>
      <c r="AZ7">
        <v>4</v>
      </c>
      <c r="BA7" t="s">
        <v>7</v>
      </c>
      <c r="BB7" t="s">
        <v>7</v>
      </c>
      <c r="BC7">
        <v>4</v>
      </c>
      <c r="BD7">
        <v>4</v>
      </c>
      <c r="BE7" t="s">
        <v>7</v>
      </c>
      <c r="BF7" t="s">
        <v>7</v>
      </c>
      <c r="BG7">
        <v>4</v>
      </c>
      <c r="BH7" t="s">
        <v>9</v>
      </c>
      <c r="BI7" t="s">
        <v>9</v>
      </c>
      <c r="BJ7" t="s">
        <v>9</v>
      </c>
      <c r="BK7">
        <v>3</v>
      </c>
      <c r="BL7" t="s">
        <v>9</v>
      </c>
      <c r="BM7">
        <v>4</v>
      </c>
      <c r="BN7" t="s">
        <v>39</v>
      </c>
      <c r="BO7">
        <v>511.82</v>
      </c>
      <c r="BP7">
        <v>165.5</v>
      </c>
      <c r="CC7">
        <v>346.32</v>
      </c>
    </row>
    <row r="8" spans="1:81" x14ac:dyDescent="0.35">
      <c r="A8">
        <v>331</v>
      </c>
      <c r="B8" t="s">
        <v>37</v>
      </c>
      <c r="C8">
        <v>2</v>
      </c>
      <c r="D8" t="s">
        <v>0</v>
      </c>
      <c r="E8">
        <v>1259215370</v>
      </c>
      <c r="F8" t="s">
        <v>38</v>
      </c>
      <c r="G8" t="s">
        <v>37</v>
      </c>
      <c r="H8" t="s">
        <v>1</v>
      </c>
      <c r="I8" t="s">
        <v>1</v>
      </c>
      <c r="J8" t="s">
        <v>1</v>
      </c>
      <c r="K8" t="s">
        <v>2</v>
      </c>
      <c r="L8" t="s">
        <v>1</v>
      </c>
      <c r="M8" t="s">
        <v>1</v>
      </c>
      <c r="O8" t="s">
        <v>1</v>
      </c>
      <c r="Q8" t="s">
        <v>16</v>
      </c>
      <c r="R8" t="s">
        <v>4</v>
      </c>
      <c r="S8" t="s">
        <v>2</v>
      </c>
      <c r="T8" t="s">
        <v>1</v>
      </c>
      <c r="U8" t="s">
        <v>2</v>
      </c>
      <c r="V8" t="s">
        <v>2</v>
      </c>
      <c r="W8" t="s">
        <v>1</v>
      </c>
      <c r="X8" t="s">
        <v>2</v>
      </c>
      <c r="Y8" t="s">
        <v>2</v>
      </c>
      <c r="AD8">
        <v>3</v>
      </c>
      <c r="AE8">
        <v>3</v>
      </c>
      <c r="AF8" t="s">
        <v>5</v>
      </c>
      <c r="AG8" t="s">
        <v>34</v>
      </c>
      <c r="AH8" t="s">
        <v>18</v>
      </c>
      <c r="AI8" t="s">
        <v>14</v>
      </c>
      <c r="AJ8" t="s">
        <v>14</v>
      </c>
      <c r="AK8">
        <v>3</v>
      </c>
      <c r="AL8">
        <v>4</v>
      </c>
      <c r="AM8">
        <v>4</v>
      </c>
      <c r="AN8">
        <v>4</v>
      </c>
      <c r="AO8">
        <v>3</v>
      </c>
      <c r="AP8">
        <v>4</v>
      </c>
      <c r="AQ8">
        <v>3</v>
      </c>
      <c r="AR8">
        <v>3</v>
      </c>
      <c r="AS8">
        <v>2</v>
      </c>
      <c r="AT8">
        <v>3</v>
      </c>
      <c r="AU8">
        <v>3</v>
      </c>
      <c r="AV8">
        <v>4</v>
      </c>
      <c r="AW8">
        <v>4</v>
      </c>
      <c r="AX8" t="s">
        <v>7</v>
      </c>
      <c r="AY8" t="s">
        <v>7</v>
      </c>
      <c r="AZ8" t="s">
        <v>7</v>
      </c>
      <c r="BA8">
        <v>3</v>
      </c>
      <c r="BB8">
        <v>4</v>
      </c>
      <c r="BC8" t="s">
        <v>8</v>
      </c>
      <c r="BD8">
        <v>4</v>
      </c>
      <c r="BE8">
        <v>2</v>
      </c>
      <c r="BF8">
        <v>4</v>
      </c>
      <c r="BG8">
        <v>4</v>
      </c>
      <c r="BH8">
        <v>4</v>
      </c>
      <c r="BI8">
        <v>4</v>
      </c>
      <c r="BJ8">
        <v>3</v>
      </c>
      <c r="BK8">
        <v>3</v>
      </c>
      <c r="BL8">
        <v>4</v>
      </c>
      <c r="BM8">
        <v>4</v>
      </c>
      <c r="BN8" t="s">
        <v>33</v>
      </c>
      <c r="BO8">
        <v>572.64</v>
      </c>
      <c r="BP8">
        <v>189.43</v>
      </c>
      <c r="CC8">
        <v>383.21</v>
      </c>
    </row>
    <row r="9" spans="1:81" x14ac:dyDescent="0.35">
      <c r="A9">
        <v>332</v>
      </c>
      <c r="B9" t="s">
        <v>31</v>
      </c>
      <c r="C9">
        <v>2</v>
      </c>
      <c r="D9" t="s">
        <v>0</v>
      </c>
      <c r="E9">
        <v>456879600</v>
      </c>
      <c r="F9" t="s">
        <v>32</v>
      </c>
      <c r="G9" t="s">
        <v>31</v>
      </c>
      <c r="H9" t="s">
        <v>1</v>
      </c>
      <c r="I9" t="s">
        <v>2</v>
      </c>
      <c r="J9" t="s">
        <v>1</v>
      </c>
      <c r="K9" t="s">
        <v>2</v>
      </c>
      <c r="L9" t="s">
        <v>2</v>
      </c>
      <c r="M9" t="s">
        <v>1</v>
      </c>
      <c r="O9" t="s">
        <v>2</v>
      </c>
      <c r="P9" t="s">
        <v>28</v>
      </c>
      <c r="Q9" t="s">
        <v>3</v>
      </c>
      <c r="S9" t="s">
        <v>2</v>
      </c>
      <c r="T9" t="s">
        <v>2</v>
      </c>
      <c r="U9" t="s">
        <v>2</v>
      </c>
      <c r="V9" t="s">
        <v>2</v>
      </c>
      <c r="W9" t="s">
        <v>1</v>
      </c>
      <c r="X9" t="s">
        <v>1</v>
      </c>
      <c r="Y9" t="s">
        <v>1</v>
      </c>
      <c r="AG9" t="s">
        <v>27</v>
      </c>
      <c r="AH9" t="s">
        <v>18</v>
      </c>
      <c r="AI9">
        <v>4</v>
      </c>
      <c r="AJ9">
        <v>3</v>
      </c>
      <c r="AK9">
        <v>4</v>
      </c>
      <c r="AL9" t="s">
        <v>13</v>
      </c>
      <c r="AM9">
        <v>3</v>
      </c>
      <c r="AN9">
        <v>3</v>
      </c>
      <c r="AO9">
        <v>3</v>
      </c>
      <c r="AP9">
        <v>4</v>
      </c>
      <c r="AQ9">
        <v>3</v>
      </c>
      <c r="AR9">
        <v>3</v>
      </c>
      <c r="AS9">
        <v>3</v>
      </c>
      <c r="AT9">
        <v>4</v>
      </c>
      <c r="AU9">
        <v>4</v>
      </c>
      <c r="AV9" t="s">
        <v>7</v>
      </c>
      <c r="AW9">
        <v>3</v>
      </c>
      <c r="AX9">
        <v>4</v>
      </c>
      <c r="AY9">
        <v>4</v>
      </c>
      <c r="AZ9">
        <v>4</v>
      </c>
      <c r="BA9">
        <v>4</v>
      </c>
      <c r="BB9" t="s">
        <v>7</v>
      </c>
      <c r="BC9">
        <v>4</v>
      </c>
      <c r="BD9">
        <v>4</v>
      </c>
      <c r="BE9">
        <v>3</v>
      </c>
      <c r="BF9">
        <v>4</v>
      </c>
      <c r="BG9">
        <v>3</v>
      </c>
      <c r="BH9">
        <v>3</v>
      </c>
      <c r="BI9">
        <v>3</v>
      </c>
      <c r="BJ9">
        <v>2</v>
      </c>
      <c r="BK9">
        <v>4</v>
      </c>
      <c r="BL9">
        <v>2</v>
      </c>
      <c r="BM9">
        <v>3</v>
      </c>
      <c r="BO9">
        <v>1175.75</v>
      </c>
      <c r="BP9">
        <v>525.39</v>
      </c>
      <c r="CC9">
        <v>650.36</v>
      </c>
    </row>
    <row r="10" spans="1:81" x14ac:dyDescent="0.35">
      <c r="A10">
        <v>333</v>
      </c>
      <c r="B10" t="s">
        <v>25</v>
      </c>
      <c r="C10">
        <v>2</v>
      </c>
      <c r="D10" t="s">
        <v>0</v>
      </c>
      <c r="E10">
        <v>517055381</v>
      </c>
      <c r="F10" t="s">
        <v>26</v>
      </c>
      <c r="G10" t="s">
        <v>25</v>
      </c>
      <c r="H10" t="s">
        <v>2</v>
      </c>
      <c r="I10" t="s">
        <v>1</v>
      </c>
      <c r="J10" t="s">
        <v>2</v>
      </c>
      <c r="K10" t="s">
        <v>2</v>
      </c>
      <c r="L10" t="s">
        <v>2</v>
      </c>
      <c r="M10" t="s">
        <v>2</v>
      </c>
      <c r="O10" t="s">
        <v>2</v>
      </c>
      <c r="P10" t="s">
        <v>22</v>
      </c>
      <c r="Q10" t="s">
        <v>11</v>
      </c>
      <c r="S10" t="s">
        <v>1</v>
      </c>
      <c r="T10" t="s">
        <v>1</v>
      </c>
      <c r="U10" t="s">
        <v>2</v>
      </c>
      <c r="V10" t="s">
        <v>2</v>
      </c>
      <c r="W10" t="s">
        <v>1</v>
      </c>
      <c r="X10" t="s">
        <v>1</v>
      </c>
      <c r="Y10" t="s">
        <v>1</v>
      </c>
      <c r="AG10" t="s">
        <v>21</v>
      </c>
      <c r="AH10" t="s">
        <v>18</v>
      </c>
      <c r="AI10" t="s">
        <v>13</v>
      </c>
      <c r="AJ10">
        <v>4</v>
      </c>
      <c r="AK10" t="s">
        <v>13</v>
      </c>
      <c r="AL10">
        <v>3</v>
      </c>
      <c r="AM10" t="s">
        <v>7</v>
      </c>
      <c r="AN10" t="s">
        <v>7</v>
      </c>
      <c r="AO10">
        <v>4</v>
      </c>
      <c r="AP10" t="s">
        <v>7</v>
      </c>
      <c r="AQ10">
        <v>3</v>
      </c>
      <c r="AR10">
        <v>4</v>
      </c>
      <c r="AS10">
        <v>4</v>
      </c>
      <c r="AT10">
        <v>4</v>
      </c>
      <c r="AU10">
        <v>4</v>
      </c>
      <c r="AV10">
        <v>4</v>
      </c>
      <c r="AW10">
        <v>4</v>
      </c>
      <c r="AX10" t="s">
        <v>7</v>
      </c>
      <c r="AY10">
        <v>3</v>
      </c>
      <c r="AZ10">
        <v>4</v>
      </c>
      <c r="BA10">
        <v>3</v>
      </c>
      <c r="BB10">
        <v>4</v>
      </c>
      <c r="BC10">
        <v>3</v>
      </c>
      <c r="BD10">
        <v>4</v>
      </c>
      <c r="BE10">
        <v>3</v>
      </c>
      <c r="BF10" t="s">
        <v>7</v>
      </c>
      <c r="BG10" t="s">
        <v>9</v>
      </c>
      <c r="BH10">
        <v>4</v>
      </c>
      <c r="BI10">
        <v>3</v>
      </c>
      <c r="BJ10" t="s">
        <v>9</v>
      </c>
      <c r="BK10" t="s">
        <v>9</v>
      </c>
      <c r="BL10">
        <v>3</v>
      </c>
      <c r="BM10">
        <v>4</v>
      </c>
      <c r="BO10">
        <v>338.04</v>
      </c>
      <c r="BP10">
        <v>167.75</v>
      </c>
      <c r="CC10">
        <v>170.29</v>
      </c>
    </row>
    <row r="12" spans="1:81" ht="13.9" x14ac:dyDescent="0.35">
      <c r="N12" s="1" t="s">
        <v>1</v>
      </c>
      <c r="O12">
        <f>COUNTIF(O1:O10,"Sí")</f>
        <v>5</v>
      </c>
      <c r="P12" s="2" t="s">
        <v>17</v>
      </c>
      <c r="Q12">
        <f>COUNTIF($Q$1:$Q$10,P12)</f>
        <v>2</v>
      </c>
      <c r="R12">
        <f>COUNTIF(R1:R10,"Sí")</f>
        <v>1</v>
      </c>
      <c r="U12">
        <f>COUNTIF(U1:U10,"Sí")</f>
        <v>2</v>
      </c>
      <c r="AG12" t="s">
        <v>12</v>
      </c>
      <c r="AH12">
        <f>COUNTIF($AH$1:$AH$10,AG12)</f>
        <v>3</v>
      </c>
    </row>
    <row r="13" spans="1:81" ht="13.9" x14ac:dyDescent="0.35">
      <c r="N13" s="1" t="s">
        <v>2</v>
      </c>
      <c r="O13">
        <f>COUNTIF(O1:O10,"No")</f>
        <v>5</v>
      </c>
      <c r="P13" s="2" t="s">
        <v>16</v>
      </c>
      <c r="Q13">
        <f t="shared" ref="Q13:Q15" si="0">COUNTIF($Q$1:$Q$10,P13)</f>
        <v>2</v>
      </c>
      <c r="R13">
        <f>COUNTIF(R1:R10,"No")</f>
        <v>0</v>
      </c>
      <c r="U13">
        <f>COUNTIF(U1:U10,"No")</f>
        <v>8</v>
      </c>
      <c r="AG13" t="s">
        <v>18</v>
      </c>
      <c r="AH13">
        <f t="shared" ref="AH13:AH14" si="1">COUNTIF($AH$1:$AH$10,AG13)</f>
        <v>6</v>
      </c>
    </row>
    <row r="14" spans="1:81" ht="13.9" x14ac:dyDescent="0.35">
      <c r="N14" s="1" t="s">
        <v>10</v>
      </c>
      <c r="P14" s="2" t="s">
        <v>3</v>
      </c>
      <c r="Q14">
        <f t="shared" si="0"/>
        <v>1</v>
      </c>
      <c r="R14">
        <f>COUNTIF(R1:R10,"Parcialmente")</f>
        <v>4</v>
      </c>
      <c r="AG14" t="s">
        <v>6</v>
      </c>
      <c r="AH14">
        <f t="shared" si="1"/>
        <v>1</v>
      </c>
    </row>
    <row r="15" spans="1:81" ht="13.9" x14ac:dyDescent="0.35">
      <c r="N15" s="1" t="s">
        <v>78</v>
      </c>
      <c r="P15" s="2" t="s">
        <v>11</v>
      </c>
      <c r="Q15">
        <f t="shared" si="0"/>
        <v>5</v>
      </c>
      <c r="R15">
        <f>COUNTBLANK(R1:R10)</f>
        <v>5</v>
      </c>
      <c r="AH15">
        <f>SUM(AH12:AH14)</f>
        <v>10</v>
      </c>
    </row>
    <row r="16" spans="1:81" ht="13.9" x14ac:dyDescent="0.35">
      <c r="N16" s="1" t="s">
        <v>79</v>
      </c>
      <c r="O16">
        <f>SUM(O12:O15)</f>
        <v>10</v>
      </c>
      <c r="Q16">
        <f>SUM(Q12:Q15)</f>
        <v>10</v>
      </c>
      <c r="R16">
        <f>SUM(R12:R15)</f>
        <v>10</v>
      </c>
      <c r="U16">
        <f>SUM(U12:U15)</f>
        <v>10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Encuesta de ingreso a énfasis</vt:lpstr>
      <vt:lpstr>Encuesta de ingreso a énfas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2023-04-26T10:13:13Z</dcterms:created>
  <dcterms:modified xsi:type="dcterms:W3CDTF">2026-04-14T00:36:00Z</dcterms:modified>
</cp:coreProperties>
</file>